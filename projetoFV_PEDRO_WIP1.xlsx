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DC8292D-5383-47ED-B4C4-A3792831FAAD}" xr6:coauthVersionLast="47" xr6:coauthVersionMax="47" xr10:uidLastSave="{00000000-0000-0000-0000-000000000000}"/>
  <bookViews>
    <workbookView xWindow="-110" yWindow="-110" windowWidth="19420" windowHeight="10300" xr2:uid="{F3098340-45CE-453E-8700-D146D20039C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" l="1"/>
  <c r="G73" i="1"/>
  <c r="G74" i="1" s="1"/>
  <c r="G69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53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G79" i="1" l="1"/>
</calcChain>
</file>

<file path=xl/sharedStrings.xml><?xml version="1.0" encoding="utf-8"?>
<sst xmlns="http://schemas.openxmlformats.org/spreadsheetml/2006/main" count="123" uniqueCount="119">
  <si>
    <t>Pedro Kzan - Eng. Elétrica | EESC USP</t>
  </si>
  <si>
    <t>Dados alteráveis:</t>
  </si>
  <si>
    <t>Dados fixos:</t>
  </si>
  <si>
    <t>Legenda:</t>
  </si>
  <si>
    <t>Cidade</t>
  </si>
  <si>
    <t>Tmin</t>
  </si>
  <si>
    <t>Latitude</t>
  </si>
  <si>
    <t>Longitude</t>
  </si>
  <si>
    <t>ICMS</t>
  </si>
  <si>
    <t>Energia Mensal (EM)</t>
  </si>
  <si>
    <t>Eficiência do sistema todo (ηsis)</t>
  </si>
  <si>
    <t>Sobrecarga do Inversor (PCC/PCA)</t>
  </si>
  <si>
    <t>Tensão em Vazio do Módulo</t>
  </si>
  <si>
    <t>Nº de MPPTs do Inversor</t>
  </si>
  <si>
    <t>Coeficiente de temperatura do módulo (α)</t>
  </si>
  <si>
    <r>
      <t>Potência do Painel (P</t>
    </r>
    <r>
      <rPr>
        <b/>
        <sz val="8"/>
        <color theme="1"/>
        <rFont val="Trebuchet MS"/>
        <family val="2"/>
        <scheme val="minor"/>
      </rPr>
      <t>MOD</t>
    </r>
    <r>
      <rPr>
        <b/>
        <sz val="10"/>
        <color theme="1"/>
        <rFont val="Trebuchet MS"/>
        <family val="2"/>
        <scheme val="minor"/>
      </rPr>
      <t>)</t>
    </r>
  </si>
  <si>
    <t>São Carlos</t>
  </si>
  <si>
    <t>Da conta de energia, disponível lá ou publicamente pela concessionária</t>
  </si>
  <si>
    <t>Se não há TUSD e TE separados na conta de energia, considere TE=TUSD</t>
  </si>
  <si>
    <t>*Sundata</t>
  </si>
  <si>
    <t>kWh/mês</t>
  </si>
  <si>
    <t>Escolher entre [0,7-0,9] -&gt; perdas surgem de temperatura, inversor, sujeira/poeira, cabeamento, mismatch, sombreamento, degradação.</t>
  </si>
  <si>
    <t>Escolher entre [1-1,25] -&gt; conferir no manual do inversor</t>
  </si>
  <si>
    <t>º/Oeste</t>
  </si>
  <si>
    <t>W -&gt; escolha do projetista</t>
  </si>
  <si>
    <t>V vide datasheet do módulo</t>
  </si>
  <si>
    <t>Vide datasheet do módulo</t>
  </si>
  <si>
    <t>Conexões no inversor</t>
  </si>
  <si>
    <t>ºC</t>
  </si>
  <si>
    <t>Consumo de energia do cliente</t>
  </si>
  <si>
    <t>Número de módulos</t>
  </si>
  <si>
    <t>Nº de módulos/Nº de MPPT</t>
  </si>
  <si>
    <t>Potência Fotovoltaica teórica</t>
  </si>
  <si>
    <t>Potência Fotovoltaica real</t>
  </si>
  <si>
    <t>Potência do Inversor em CA</t>
  </si>
  <si>
    <t>Energia Fotovoltaica real</t>
  </si>
  <si>
    <t>Tensão máxima por MPPT</t>
  </si>
  <si>
    <t>Inclinação ideal</t>
  </si>
  <si>
    <r>
      <t>º/</t>
    </r>
    <r>
      <rPr>
        <b/>
        <sz val="8"/>
        <color theme="1"/>
        <rFont val="Trebuchet MS"/>
        <family val="2"/>
        <scheme val="minor"/>
      </rPr>
      <t>Sul</t>
    </r>
  </si>
  <si>
    <t>Imposto estadual, pode ser visto na conta de energia</t>
  </si>
  <si>
    <t>TUSD é o custo de transporte da energia</t>
  </si>
  <si>
    <t>Energia média mensal (kWh/mês) obtida da conta de energia; média dos últimos 12 meses.</t>
  </si>
  <si>
    <t>Energia de Custo de Disponibilidade (Grupo B):</t>
  </si>
  <si>
    <t>Dimensionamento de Sistema Fotovoltaico ON-GRID para usuário - com Payback</t>
  </si>
  <si>
    <t>Classe do Usuário</t>
  </si>
  <si>
    <t>A</t>
  </si>
  <si>
    <t>Modelo tarifário</t>
  </si>
  <si>
    <t>Azul</t>
  </si>
  <si>
    <t>Crédito por kWh injetado (Lei 14.300). TUSD*(1-ICMS) + TE.</t>
  </si>
  <si>
    <t>Dados Indicados (inputs)</t>
  </si>
  <si>
    <t>Dimensionamento Preliminar (outputs)</t>
  </si>
  <si>
    <t>(Grupo B) ECD</t>
  </si>
  <si>
    <t>(Grupo B) custo consumo TUSD (R$/kWh)</t>
  </si>
  <si>
    <t>(Grupo B) custo consumo TE (R$/kWh)</t>
  </si>
  <si>
    <t>(Grupo A-Verde) custo demanda TUSD</t>
  </si>
  <si>
    <t>(Grupo A) consumo ponta TUSD</t>
  </si>
  <si>
    <t>(Grupo A) consumo Fponta TUSD</t>
  </si>
  <si>
    <t>(Grupo A) consumo ponta TE</t>
  </si>
  <si>
    <t>(Grupo A) consumo Fponta TE</t>
  </si>
  <si>
    <t>(Grupo A-Azul) demanda contratada ponta</t>
  </si>
  <si>
    <t>(Grupo A-Verde) demanda contratada</t>
  </si>
  <si>
    <t>(Grupo A-Azul) demanda contratada FP</t>
  </si>
  <si>
    <t>(Grupo A-Azul) custo demanda P TUSD</t>
  </si>
  <si>
    <t>(Grupo A-Azul) custo demanda FP TUSD</t>
  </si>
  <si>
    <t>Sistema monofásico: 30kWh</t>
  </si>
  <si>
    <t>Sistema bifásico (3 fios): 50kWh</t>
  </si>
  <si>
    <t>Sistema trifásico: 100kWh</t>
  </si>
  <si>
    <t>Irradiação Solar (GHI)</t>
  </si>
  <si>
    <t>Demanda contratada: grupo A, se for grupo B, irrelevante; disponível na conta de energia.</t>
  </si>
  <si>
    <t>Disponível na conta de energia, assim como o modelo tarifário.</t>
  </si>
  <si>
    <t>(Grupo B) Custo de energia consumida</t>
  </si>
  <si>
    <t>(Grupo A) custo E consumo ponta</t>
  </si>
  <si>
    <t>(Grupo A) custo E consumo Fponta</t>
  </si>
  <si>
    <t>R$/kWh</t>
  </si>
  <si>
    <t>(Grupo B) custo de energia injetada</t>
  </si>
  <si>
    <t>Aproximado</t>
  </si>
  <si>
    <t>Geração estimada</t>
  </si>
  <si>
    <t>(Arredondado pra cima)</t>
  </si>
  <si>
    <t xml:space="preserve">(Um ímpar e outro par, haverá </t>
  </si>
  <si>
    <r>
      <t>W; P</t>
    </r>
    <r>
      <rPr>
        <sz val="5"/>
        <color theme="1"/>
        <rFont val="Trebuchet MS"/>
        <family val="2"/>
        <scheme val="minor"/>
      </rPr>
      <t>FV</t>
    </r>
    <r>
      <rPr>
        <sz val="8"/>
        <color theme="1"/>
        <rFont val="Trebuchet MS"/>
        <family val="2"/>
        <scheme val="minor"/>
      </rPr>
      <t>=1000*E</t>
    </r>
    <r>
      <rPr>
        <sz val="5"/>
        <color theme="1"/>
        <rFont val="Trebuchet MS"/>
        <family val="2"/>
        <scheme val="minor"/>
      </rPr>
      <t>FV</t>
    </r>
    <r>
      <rPr>
        <sz val="8"/>
        <color theme="1"/>
        <rFont val="Trebuchet MS"/>
        <family val="2"/>
        <scheme val="minor"/>
      </rPr>
      <t>/(30*GHI*ηsis)</t>
    </r>
  </si>
  <si>
    <t>W (com nº inteiro de módulos)</t>
  </si>
  <si>
    <t>Conferir datasheet e ver se o inversor suporta, precisa de VMPPTmax_Inverter_Datasheet &gt; do que este valor</t>
  </si>
  <si>
    <t>Escolha ótima, se for possível escolher a inclinação (compensa pela inclinação da latitude)</t>
  </si>
  <si>
    <t>Custos</t>
  </si>
  <si>
    <t>Equipamento</t>
  </si>
  <si>
    <t>Módulo Fotovoltaico</t>
  </si>
  <si>
    <t>Inversor</t>
  </si>
  <si>
    <t>String box</t>
  </si>
  <si>
    <t>Conjunto conector</t>
  </si>
  <si>
    <t>Cabo solar</t>
  </si>
  <si>
    <t>Grampo intermediário</t>
  </si>
  <si>
    <t>Grampo terminador</t>
  </si>
  <si>
    <t>Hook de aço Kit</t>
  </si>
  <si>
    <t>Emenda perfil</t>
  </si>
  <si>
    <t>Grampo de aterramento</t>
  </si>
  <si>
    <t>abraçadeira cabos</t>
  </si>
  <si>
    <t>clip de aterramento</t>
  </si>
  <si>
    <t>Perfil de Alumínio Anodizado p/ módulos</t>
  </si>
  <si>
    <t>Eletrobox (quadro CA) e outros</t>
  </si>
  <si>
    <t>Quantidade</t>
  </si>
  <si>
    <t>Custo total</t>
  </si>
  <si>
    <t>Custo unitário</t>
  </si>
  <si>
    <t>Escolher (1) ou (2)</t>
  </si>
  <si>
    <t>Preço Distribuído (1)</t>
  </si>
  <si>
    <t>Preço Concentrado (2)</t>
  </si>
  <si>
    <t>Preço item a item</t>
  </si>
  <si>
    <t>Preço de um kit solar pronto</t>
  </si>
  <si>
    <t>Valor do material</t>
  </si>
  <si>
    <t>Transporte (10%Valor do material)</t>
  </si>
  <si>
    <t>Estudos e Análises</t>
  </si>
  <si>
    <t>Ligação à rede e mão de obra</t>
  </si>
  <si>
    <t>Outro</t>
  </si>
  <si>
    <t>Desconto</t>
  </si>
  <si>
    <t>/Wp</t>
  </si>
  <si>
    <t>Valor do Investimento</t>
  </si>
  <si>
    <t>Avaliação Econômica</t>
  </si>
  <si>
    <t>Total:</t>
  </si>
  <si>
    <t>Custo / Watt-pico</t>
  </si>
  <si>
    <t>"Projeto adequado com custo entre 4 a 7 R$/Wp"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</si>
</sst>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"/>
  </numFmts>
  <fonts count="16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8"/>
      <color theme="1"/>
      <name val="Trebuchet MS"/>
      <family val="2"/>
      <scheme val="minor"/>
    </font>
    <font>
      <b/>
      <sz val="10"/>
      <color theme="1"/>
      <name val="Trebuchet MS"/>
      <family val="2"/>
      <scheme val="minor"/>
    </font>
    <font>
      <b/>
      <sz val="8"/>
      <color theme="1"/>
      <name val="Trebuchet MS"/>
      <family val="2"/>
      <scheme val="minor"/>
    </font>
    <font>
      <b/>
      <sz val="9"/>
      <color theme="1"/>
      <name val="Trebuchet MS"/>
      <family val="2"/>
      <scheme val="minor"/>
    </font>
    <font>
      <sz val="7"/>
      <color theme="1"/>
      <name val="Trebuchet MS"/>
      <family val="2"/>
      <scheme val="minor"/>
    </font>
    <font>
      <i/>
      <sz val="8"/>
      <color theme="1"/>
      <name val="Trebuchet MS"/>
      <family val="2"/>
      <scheme val="minor"/>
    </font>
    <font>
      <sz val="5"/>
      <color theme="1"/>
      <name val="Trebuchet MS"/>
      <family val="2"/>
      <scheme val="minor"/>
    </font>
    <font>
      <sz val="9"/>
      <color theme="1"/>
      <name val="Trebuchet MS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0" fillId="4" borderId="2" xfId="0" applyFill="1" applyBorder="1"/>
    <xf numFmtId="0" fontId="2" fillId="2" borderId="12" xfId="0" applyFont="1" applyFill="1" applyBorder="1"/>
    <xf numFmtId="0" fontId="0" fillId="2" borderId="13" xfId="0" applyFill="1" applyBorder="1"/>
    <xf numFmtId="0" fontId="1" fillId="2" borderId="1" xfId="0" applyFont="1" applyFill="1" applyBorder="1"/>
    <xf numFmtId="0" fontId="1" fillId="0" borderId="0" xfId="0" applyFont="1"/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0" xfId="0" applyFont="1"/>
    <xf numFmtId="0" fontId="3" fillId="0" borderId="1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4" borderId="2" xfId="0" applyFill="1" applyBorder="1" applyAlignment="1">
      <alignment horizontal="left"/>
    </xf>
    <xf numFmtId="0" fontId="6" fillId="2" borderId="11" xfId="0" applyFont="1" applyFill="1" applyBorder="1"/>
    <xf numFmtId="0" fontId="2" fillId="0" borderId="0" xfId="0" applyFont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2" borderId="2" xfId="0" applyFill="1" applyBorder="1"/>
    <xf numFmtId="0" fontId="3" fillId="5" borderId="17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" fillId="0" borderId="6" xfId="0" applyFont="1" applyBorder="1"/>
    <xf numFmtId="0" fontId="2" fillId="0" borderId="0" xfId="0" applyFont="1"/>
    <xf numFmtId="0" fontId="2" fillId="0" borderId="7" xfId="0" applyFont="1" applyBorder="1"/>
    <xf numFmtId="0" fontId="4" fillId="0" borderId="6" xfId="0" applyFont="1" applyBorder="1"/>
    <xf numFmtId="0" fontId="4" fillId="0" borderId="0" xfId="0" applyFont="1"/>
    <xf numFmtId="0" fontId="4" fillId="0" borderId="7" xfId="0" applyFont="1" applyBorder="1"/>
    <xf numFmtId="0" fontId="7" fillId="0" borderId="6" xfId="0" applyFont="1" applyBorder="1"/>
    <xf numFmtId="0" fontId="7" fillId="0" borderId="0" xfId="0" applyFont="1"/>
    <xf numFmtId="0" fontId="2" fillId="0" borderId="7" xfId="0" applyFont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" xfId="0" applyFont="1" applyFill="1" applyBorder="1"/>
    <xf numFmtId="0" fontId="0" fillId="6" borderId="0" xfId="0" applyFill="1" applyAlignment="1">
      <alignment horizontal="center"/>
    </xf>
    <xf numFmtId="0" fontId="2" fillId="6" borderId="0" xfId="0" applyFont="1" applyFill="1" applyBorder="1" applyAlignment="1">
      <alignment horizontal="left"/>
    </xf>
    <xf numFmtId="0" fontId="2" fillId="6" borderId="0" xfId="0" applyFont="1" applyFill="1" applyBorder="1"/>
    <xf numFmtId="0" fontId="2" fillId="6" borderId="0" xfId="0" applyFont="1" applyFill="1"/>
    <xf numFmtId="0" fontId="0" fillId="2" borderId="20" xfId="0" applyFill="1" applyBorder="1"/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9" fillId="0" borderId="1" xfId="0" applyFont="1" applyBorder="1"/>
    <xf numFmtId="0" fontId="9" fillId="0" borderId="3" xfId="0" applyFont="1" applyBorder="1"/>
    <xf numFmtId="0" fontId="0" fillId="4" borderId="1" xfId="0" applyFill="1" applyBorder="1"/>
    <xf numFmtId="0" fontId="0" fillId="2" borderId="1" xfId="0" applyFill="1" applyBorder="1"/>
    <xf numFmtId="0" fontId="0" fillId="4" borderId="22" xfId="0" applyFill="1" applyBorder="1"/>
    <xf numFmtId="0" fontId="9" fillId="0" borderId="2" xfId="0" applyFont="1" applyBorder="1"/>
    <xf numFmtId="0" fontId="0" fillId="0" borderId="2" xfId="0" applyBorder="1"/>
    <xf numFmtId="0" fontId="0" fillId="2" borderId="22" xfId="0" applyFill="1" applyBorder="1"/>
    <xf numFmtId="0" fontId="10" fillId="0" borderId="24" xfId="0" applyFont="1" applyBorder="1" applyAlignment="1">
      <alignment horizontal="center"/>
    </xf>
    <xf numFmtId="164" fontId="10" fillId="7" borderId="1" xfId="0" applyNumberFormat="1" applyFont="1" applyFill="1" applyBorder="1"/>
    <xf numFmtId="0" fontId="11" fillId="7" borderId="23" xfId="0" applyFont="1" applyFill="1" applyBorder="1"/>
    <xf numFmtId="164" fontId="10" fillId="7" borderId="24" xfId="0" applyNumberFormat="1" applyFont="1" applyFill="1" applyBorder="1" applyAlignment="1">
      <alignment horizontal="right"/>
    </xf>
    <xf numFmtId="0" fontId="13" fillId="7" borderId="23" xfId="0" applyFont="1" applyFill="1" applyBorder="1"/>
    <xf numFmtId="164" fontId="10" fillId="7" borderId="22" xfId="0" applyNumberFormat="1" applyFont="1" applyFill="1" applyBorder="1"/>
    <xf numFmtId="164" fontId="12" fillId="7" borderId="2" xfId="0" applyNumberFormat="1" applyFont="1" applyFill="1" applyBorder="1"/>
    <xf numFmtId="0" fontId="14" fillId="0" borderId="0" xfId="0" applyFont="1" applyAlignment="1">
      <alignment horizontal="right"/>
    </xf>
    <xf numFmtId="0" fontId="0" fillId="2" borderId="0" xfId="0" applyNumberFormat="1" applyFill="1"/>
    <xf numFmtId="0" fontId="13" fillId="7" borderId="0" xfId="0" applyFont="1" applyFill="1" applyBorder="1"/>
    <xf numFmtId="0" fontId="14" fillId="0" borderId="0" xfId="0" applyFont="1"/>
    <xf numFmtId="0" fontId="15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Facetado">
  <a:themeElements>
    <a:clrScheme name="Amarelo Verd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Facetado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do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1829-3C9E-49B7-A1F1-C5044959D3C8}">
  <dimension ref="A1:M81"/>
  <sheetViews>
    <sheetView tabSelected="1" topLeftCell="A79" workbookViewId="0">
      <selection activeCell="E42" sqref="E42"/>
    </sheetView>
  </sheetViews>
  <sheetFormatPr defaultRowHeight="14.5" x14ac:dyDescent="0.35"/>
  <cols>
    <col min="5" max="7" width="11.58203125" customWidth="1"/>
  </cols>
  <sheetData>
    <row r="1" spans="1:13" x14ac:dyDescent="0.35">
      <c r="A1" s="25" t="s">
        <v>0</v>
      </c>
      <c r="B1" s="25"/>
      <c r="C1" s="25"/>
      <c r="D1" s="25"/>
      <c r="E1" s="25"/>
    </row>
    <row r="3" spans="1:13" x14ac:dyDescent="0.35">
      <c r="A3" s="54" t="s">
        <v>43</v>
      </c>
      <c r="B3" s="5"/>
      <c r="C3" s="5"/>
      <c r="D3" s="5"/>
      <c r="E3" s="54"/>
      <c r="F3" s="5"/>
      <c r="G3" s="5"/>
      <c r="H3" s="5"/>
      <c r="I3" s="5"/>
    </row>
    <row r="4" spans="1:13" ht="15" thickBot="1" x14ac:dyDescent="0.4"/>
    <row r="5" spans="1:13" ht="15" thickBot="1" x14ac:dyDescent="0.4">
      <c r="G5" s="6" t="s">
        <v>3</v>
      </c>
      <c r="H5" s="50" t="s">
        <v>1</v>
      </c>
      <c r="I5" s="51"/>
      <c r="J5" s="2"/>
    </row>
    <row r="6" spans="1:13" ht="15" thickBot="1" x14ac:dyDescent="0.4">
      <c r="A6" s="53" t="s">
        <v>49</v>
      </c>
      <c r="B6" s="53"/>
      <c r="C6" s="53"/>
      <c r="D6" s="53"/>
      <c r="E6" s="53"/>
      <c r="F6" s="53"/>
      <c r="H6" s="50" t="s">
        <v>2</v>
      </c>
      <c r="I6" s="52"/>
      <c r="J6" s="20"/>
    </row>
    <row r="7" spans="1:13" ht="15" thickBot="1" x14ac:dyDescent="0.4">
      <c r="A7" s="18" t="s">
        <v>44</v>
      </c>
      <c r="B7" s="17"/>
      <c r="C7" s="17"/>
      <c r="D7" s="17"/>
      <c r="E7" s="14" t="s">
        <v>45</v>
      </c>
      <c r="F7" s="11" t="s">
        <v>69</v>
      </c>
      <c r="H7" s="16"/>
      <c r="I7" s="16"/>
      <c r="J7" s="16"/>
    </row>
    <row r="8" spans="1:13" ht="15" thickBot="1" x14ac:dyDescent="0.4">
      <c r="A8" s="18" t="s">
        <v>46</v>
      </c>
      <c r="B8" s="17"/>
      <c r="C8" s="17"/>
      <c r="D8" s="17"/>
      <c r="E8" s="14" t="s">
        <v>47</v>
      </c>
      <c r="F8" s="1"/>
      <c r="H8" s="16"/>
      <c r="I8" s="16"/>
      <c r="J8" s="16"/>
    </row>
    <row r="9" spans="1:13" ht="15" thickBot="1" x14ac:dyDescent="0.4">
      <c r="A9" s="21" t="s">
        <v>59</v>
      </c>
      <c r="B9" s="22"/>
      <c r="C9" s="22"/>
      <c r="D9" s="22"/>
      <c r="E9" s="14"/>
      <c r="F9" s="11" t="s">
        <v>68</v>
      </c>
      <c r="H9" s="16"/>
      <c r="I9" s="16"/>
      <c r="J9" s="16"/>
    </row>
    <row r="10" spans="1:13" ht="15" thickBot="1" x14ac:dyDescent="0.4">
      <c r="A10" s="21" t="s">
        <v>61</v>
      </c>
      <c r="B10" s="22"/>
      <c r="C10" s="22"/>
      <c r="D10" s="22"/>
      <c r="E10" s="14"/>
      <c r="F10" s="1"/>
      <c r="H10" s="16"/>
      <c r="I10" s="16"/>
      <c r="J10" s="16"/>
    </row>
    <row r="11" spans="1:13" ht="15" thickBot="1" x14ac:dyDescent="0.4">
      <c r="A11" s="21" t="s">
        <v>60</v>
      </c>
      <c r="B11" s="22"/>
      <c r="C11" s="22"/>
      <c r="D11" s="22"/>
      <c r="E11" s="19"/>
      <c r="F11" s="1"/>
      <c r="H11" s="16"/>
      <c r="I11" s="16"/>
      <c r="J11" s="16"/>
    </row>
    <row r="12" spans="1:13" ht="15" thickBot="1" x14ac:dyDescent="0.4">
      <c r="A12" s="21" t="s">
        <v>51</v>
      </c>
      <c r="B12" s="22"/>
      <c r="C12" s="22"/>
      <c r="D12" s="22"/>
      <c r="E12" s="19"/>
      <c r="F12" s="1"/>
      <c r="H12" s="16"/>
      <c r="I12" s="16"/>
      <c r="J12" s="16"/>
    </row>
    <row r="13" spans="1:13" ht="15" thickBot="1" x14ac:dyDescent="0.4">
      <c r="A13" s="48" t="s">
        <v>4</v>
      </c>
      <c r="B13" s="48"/>
      <c r="C13" s="48"/>
      <c r="D13" s="49"/>
      <c r="E13" s="19" t="s">
        <v>16</v>
      </c>
      <c r="F13" s="1"/>
    </row>
    <row r="14" spans="1:13" ht="15" thickBot="1" x14ac:dyDescent="0.4">
      <c r="A14" s="26" t="s">
        <v>5</v>
      </c>
      <c r="B14" s="26"/>
      <c r="C14" s="26"/>
      <c r="D14" s="27"/>
      <c r="E14" s="14"/>
      <c r="F14" s="23" t="s">
        <v>28</v>
      </c>
      <c r="G14" s="38"/>
      <c r="H14" s="15" t="s">
        <v>42</v>
      </c>
      <c r="I14" s="3"/>
      <c r="J14" s="4"/>
      <c r="K14" s="39" t="s">
        <v>64</v>
      </c>
      <c r="L14" s="40"/>
      <c r="M14" s="41"/>
    </row>
    <row r="15" spans="1:13" ht="15" thickBot="1" x14ac:dyDescent="0.4">
      <c r="A15" s="26" t="s">
        <v>6</v>
      </c>
      <c r="B15" s="26"/>
      <c r="C15" s="26"/>
      <c r="D15" s="27"/>
      <c r="E15" s="14">
        <v>23</v>
      </c>
      <c r="F15" s="30" t="s">
        <v>38</v>
      </c>
      <c r="G15" s="31"/>
      <c r="H15" s="31"/>
      <c r="I15" s="31"/>
      <c r="J15" s="32"/>
      <c r="K15" s="42" t="s">
        <v>65</v>
      </c>
      <c r="L15" s="43"/>
      <c r="M15" s="44"/>
    </row>
    <row r="16" spans="1:13" ht="15" thickBot="1" x14ac:dyDescent="0.4">
      <c r="A16" s="26" t="s">
        <v>7</v>
      </c>
      <c r="B16" s="26"/>
      <c r="C16" s="26"/>
      <c r="D16" s="27"/>
      <c r="E16" s="14"/>
      <c r="F16" s="33" t="s">
        <v>23</v>
      </c>
      <c r="G16" s="34"/>
      <c r="H16" s="34"/>
      <c r="I16" s="34"/>
      <c r="J16" s="35"/>
      <c r="K16" s="45" t="s">
        <v>66</v>
      </c>
      <c r="L16" s="46"/>
      <c r="M16" s="47"/>
    </row>
    <row r="17" spans="1:10" ht="15" thickBot="1" x14ac:dyDescent="0.4">
      <c r="A17" s="26" t="s">
        <v>67</v>
      </c>
      <c r="B17" s="26"/>
      <c r="C17" s="26"/>
      <c r="D17" s="27"/>
      <c r="E17" s="14"/>
      <c r="F17" s="36" t="s">
        <v>19</v>
      </c>
      <c r="G17" s="37"/>
      <c r="H17" s="37"/>
      <c r="I17" s="37"/>
      <c r="J17" s="37"/>
    </row>
    <row r="18" spans="1:10" ht="15" thickBot="1" x14ac:dyDescent="0.4">
      <c r="A18" s="26" t="s">
        <v>52</v>
      </c>
      <c r="B18" s="26"/>
      <c r="C18" s="26"/>
      <c r="D18" s="27"/>
      <c r="E18" s="14"/>
      <c r="F18" s="1" t="s">
        <v>17</v>
      </c>
    </row>
    <row r="19" spans="1:10" ht="15" thickBot="1" x14ac:dyDescent="0.4">
      <c r="A19" s="26" t="s">
        <v>53</v>
      </c>
      <c r="B19" s="26"/>
      <c r="C19" s="26"/>
      <c r="D19" s="27"/>
      <c r="E19" s="14"/>
      <c r="F19" s="1" t="s">
        <v>18</v>
      </c>
    </row>
    <row r="20" spans="1:10" ht="15" thickBot="1" x14ac:dyDescent="0.4">
      <c r="A20" s="27" t="s">
        <v>54</v>
      </c>
      <c r="B20" s="28"/>
      <c r="C20" s="28"/>
      <c r="D20" s="29"/>
      <c r="E20" s="14"/>
      <c r="F20" s="23" t="s">
        <v>40</v>
      </c>
      <c r="G20" s="24"/>
      <c r="H20" s="24"/>
      <c r="I20" s="24"/>
      <c r="J20" s="24"/>
    </row>
    <row r="21" spans="1:10" ht="15" thickBot="1" x14ac:dyDescent="0.4">
      <c r="A21" s="9" t="s">
        <v>62</v>
      </c>
      <c r="B21" s="12"/>
      <c r="C21" s="12"/>
      <c r="D21" s="12"/>
      <c r="E21" s="14"/>
      <c r="F21" s="13"/>
      <c r="G21" s="13"/>
      <c r="H21" s="13"/>
      <c r="I21" s="13"/>
      <c r="J21" s="13"/>
    </row>
    <row r="22" spans="1:10" ht="15" thickBot="1" x14ac:dyDescent="0.4">
      <c r="A22" s="9" t="s">
        <v>63</v>
      </c>
      <c r="B22" s="12"/>
      <c r="C22" s="12"/>
      <c r="D22" s="12"/>
      <c r="E22" s="14"/>
      <c r="F22" s="13"/>
      <c r="G22" s="13"/>
      <c r="H22" s="13"/>
      <c r="I22" s="13"/>
      <c r="J22" s="13"/>
    </row>
    <row r="23" spans="1:10" ht="15" thickBot="1" x14ac:dyDescent="0.4">
      <c r="A23" s="9" t="s">
        <v>55</v>
      </c>
      <c r="B23" s="12"/>
      <c r="C23" s="12"/>
      <c r="D23" s="12"/>
      <c r="E23" s="14"/>
      <c r="F23" s="13"/>
      <c r="G23" s="13"/>
      <c r="H23" s="13"/>
      <c r="I23" s="13"/>
      <c r="J23" s="13"/>
    </row>
    <row r="24" spans="1:10" ht="15" thickBot="1" x14ac:dyDescent="0.4">
      <c r="A24" s="9" t="s">
        <v>56</v>
      </c>
      <c r="B24" s="12"/>
      <c r="C24" s="12"/>
      <c r="D24" s="12"/>
      <c r="E24" s="14"/>
      <c r="F24" s="13"/>
      <c r="G24" s="13"/>
      <c r="H24" s="13"/>
      <c r="I24" s="13"/>
      <c r="J24" s="13"/>
    </row>
    <row r="25" spans="1:10" ht="15" thickBot="1" x14ac:dyDescent="0.4">
      <c r="A25" s="9" t="s">
        <v>57</v>
      </c>
      <c r="B25" s="12"/>
      <c r="C25" s="12"/>
      <c r="D25" s="12"/>
      <c r="E25" s="14"/>
      <c r="F25" s="13"/>
      <c r="G25" s="13"/>
      <c r="H25" s="13"/>
      <c r="I25" s="13"/>
      <c r="J25" s="13"/>
    </row>
    <row r="26" spans="1:10" ht="15" thickBot="1" x14ac:dyDescent="0.4">
      <c r="A26" s="9" t="s">
        <v>58</v>
      </c>
      <c r="B26" s="12"/>
      <c r="C26" s="12"/>
      <c r="D26" s="12"/>
      <c r="E26" s="14"/>
      <c r="F26" s="13"/>
      <c r="G26" s="13"/>
      <c r="H26" s="13"/>
      <c r="I26" s="13"/>
      <c r="J26" s="13"/>
    </row>
    <row r="27" spans="1:10" ht="15" thickBot="1" x14ac:dyDescent="0.4">
      <c r="A27" s="26" t="s">
        <v>8</v>
      </c>
      <c r="B27" s="26"/>
      <c r="C27" s="26"/>
      <c r="D27" s="27"/>
      <c r="E27" s="14">
        <v>0.18</v>
      </c>
      <c r="F27" s="11" t="s">
        <v>39</v>
      </c>
    </row>
    <row r="28" spans="1:10" ht="15" thickBot="1" x14ac:dyDescent="0.4">
      <c r="A28" s="26" t="s">
        <v>9</v>
      </c>
      <c r="B28" s="26"/>
      <c r="C28" s="26"/>
      <c r="D28" s="27"/>
      <c r="E28" s="14"/>
      <c r="F28" s="1" t="s">
        <v>20</v>
      </c>
    </row>
    <row r="29" spans="1:10" ht="15" thickBot="1" x14ac:dyDescent="0.4">
      <c r="A29" s="26" t="s">
        <v>10</v>
      </c>
      <c r="B29" s="26"/>
      <c r="C29" s="26"/>
      <c r="D29" s="27"/>
      <c r="E29" s="14"/>
      <c r="F29" s="1" t="s">
        <v>21</v>
      </c>
    </row>
    <row r="30" spans="1:10" ht="15" thickBot="1" x14ac:dyDescent="0.4">
      <c r="A30" s="26" t="s">
        <v>15</v>
      </c>
      <c r="B30" s="26"/>
      <c r="C30" s="26"/>
      <c r="D30" s="27"/>
      <c r="E30" s="14"/>
      <c r="F30" s="1" t="s">
        <v>24</v>
      </c>
    </row>
    <row r="31" spans="1:10" ht="15" thickBot="1" x14ac:dyDescent="0.4">
      <c r="A31" s="26" t="s">
        <v>11</v>
      </c>
      <c r="B31" s="26"/>
      <c r="C31" s="26"/>
      <c r="D31" s="27"/>
      <c r="E31" s="14"/>
      <c r="F31" s="1" t="s">
        <v>22</v>
      </c>
    </row>
    <row r="32" spans="1:10" ht="15" thickBot="1" x14ac:dyDescent="0.4">
      <c r="A32" s="26" t="s">
        <v>12</v>
      </c>
      <c r="B32" s="26"/>
      <c r="C32" s="26"/>
      <c r="D32" s="27"/>
      <c r="E32" s="14"/>
      <c r="F32" s="1" t="s">
        <v>25</v>
      </c>
    </row>
    <row r="33" spans="1:10" ht="15" thickBot="1" x14ac:dyDescent="0.4">
      <c r="A33" s="7" t="s">
        <v>14</v>
      </c>
      <c r="B33" s="8"/>
      <c r="C33" s="8"/>
      <c r="D33" s="10"/>
      <c r="E33" s="14"/>
      <c r="F33" s="1" t="s">
        <v>26</v>
      </c>
    </row>
    <row r="34" spans="1:10" ht="15" thickBot="1" x14ac:dyDescent="0.4">
      <c r="A34" s="26" t="s">
        <v>13</v>
      </c>
      <c r="B34" s="26"/>
      <c r="C34" s="26"/>
      <c r="D34" s="27"/>
      <c r="E34" s="14"/>
      <c r="F34" s="1" t="s">
        <v>27</v>
      </c>
    </row>
    <row r="36" spans="1:10" ht="15" thickBot="1" x14ac:dyDescent="0.4">
      <c r="A36" s="53" t="s">
        <v>50</v>
      </c>
      <c r="B36" s="53"/>
      <c r="C36" s="53"/>
      <c r="D36" s="53"/>
      <c r="E36" s="53"/>
      <c r="F36" s="53"/>
    </row>
    <row r="37" spans="1:10" ht="15" thickBot="1" x14ac:dyDescent="0.4">
      <c r="A37" s="60" t="s">
        <v>29</v>
      </c>
      <c r="B37" s="60"/>
      <c r="C37" s="60"/>
      <c r="D37" s="60"/>
      <c r="E37" s="59">
        <f>E28</f>
        <v>0</v>
      </c>
      <c r="F37" s="1" t="s">
        <v>41</v>
      </c>
    </row>
    <row r="38" spans="1:10" ht="15" thickBot="1" x14ac:dyDescent="0.4">
      <c r="A38" s="60" t="s">
        <v>70</v>
      </c>
      <c r="B38" s="60"/>
      <c r="C38" s="60"/>
      <c r="D38" s="60"/>
      <c r="E38" s="59">
        <f>(E18+E19)</f>
        <v>0</v>
      </c>
      <c r="F38" s="1" t="s">
        <v>73</v>
      </c>
    </row>
    <row r="39" spans="1:10" ht="15" thickBot="1" x14ac:dyDescent="0.4">
      <c r="A39" s="61" t="s">
        <v>71</v>
      </c>
      <c r="B39" s="62"/>
      <c r="C39" s="62"/>
      <c r="D39" s="63"/>
      <c r="E39" s="59">
        <f>E23+E25</f>
        <v>0</v>
      </c>
      <c r="F39" s="1" t="s">
        <v>73</v>
      </c>
    </row>
    <row r="40" spans="1:10" ht="15" thickBot="1" x14ac:dyDescent="0.4">
      <c r="A40" s="61" t="s">
        <v>72</v>
      </c>
      <c r="B40" s="62"/>
      <c r="C40" s="62"/>
      <c r="D40" s="63"/>
      <c r="E40" s="59">
        <f>E24+E26</f>
        <v>0</v>
      </c>
      <c r="F40" s="1" t="s">
        <v>73</v>
      </c>
    </row>
    <row r="41" spans="1:10" ht="15" thickBot="1" x14ac:dyDescent="0.4">
      <c r="A41" s="60" t="s">
        <v>74</v>
      </c>
      <c r="B41" s="60"/>
      <c r="C41" s="60"/>
      <c r="D41" s="60"/>
      <c r="E41" s="59">
        <f>E18*(1-E27)+E19</f>
        <v>0</v>
      </c>
      <c r="F41" s="1" t="s">
        <v>48</v>
      </c>
    </row>
    <row r="42" spans="1:10" ht="15" thickBot="1" x14ac:dyDescent="0.4">
      <c r="A42" s="60" t="s">
        <v>32</v>
      </c>
      <c r="B42" s="60"/>
      <c r="C42" s="60"/>
      <c r="D42" s="60"/>
      <c r="E42" s="59" t="e">
        <f>E37*1000/(30*E29*E17)</f>
        <v>#DIV/0!</v>
      </c>
      <c r="F42" s="23" t="s">
        <v>79</v>
      </c>
      <c r="G42" s="24"/>
      <c r="H42" s="24"/>
      <c r="I42" s="24"/>
      <c r="J42" s="24"/>
    </row>
    <row r="43" spans="1:10" ht="15" thickBot="1" x14ac:dyDescent="0.4">
      <c r="A43" s="60" t="s">
        <v>30</v>
      </c>
      <c r="B43" s="60"/>
      <c r="C43" s="60"/>
      <c r="D43" s="60"/>
      <c r="E43" s="59" t="e">
        <f>ROUNDUP(E42/E30,0)</f>
        <v>#DIV/0!</v>
      </c>
      <c r="F43" s="1" t="s">
        <v>77</v>
      </c>
    </row>
    <row r="44" spans="1:10" ht="15" thickBot="1" x14ac:dyDescent="0.4">
      <c r="A44" s="60" t="s">
        <v>31</v>
      </c>
      <c r="B44" s="60"/>
      <c r="C44" s="60"/>
      <c r="D44" s="60"/>
      <c r="E44" s="59" t="e">
        <f>ROUND(E43/E34,0)</f>
        <v>#DIV/0!</v>
      </c>
      <c r="F44" s="1" t="s">
        <v>78</v>
      </c>
    </row>
    <row r="45" spans="1:10" ht="15" thickBot="1" x14ac:dyDescent="0.4">
      <c r="A45" s="60" t="s">
        <v>33</v>
      </c>
      <c r="B45" s="60"/>
      <c r="C45" s="60"/>
      <c r="D45" s="60"/>
      <c r="E45" s="59" t="e">
        <f>E43*E30</f>
        <v>#DIV/0!</v>
      </c>
      <c r="F45" s="1" t="s">
        <v>80</v>
      </c>
    </row>
    <row r="46" spans="1:10" ht="15" thickBot="1" x14ac:dyDescent="0.4">
      <c r="A46" s="60" t="s">
        <v>34</v>
      </c>
      <c r="B46" s="60"/>
      <c r="C46" s="60"/>
      <c r="D46" s="60"/>
      <c r="E46" s="59" t="e">
        <f>E45/E31</f>
        <v>#DIV/0!</v>
      </c>
      <c r="F46" s="11" t="s">
        <v>75</v>
      </c>
    </row>
    <row r="47" spans="1:10" ht="15" thickBot="1" x14ac:dyDescent="0.4">
      <c r="A47" s="60" t="s">
        <v>35</v>
      </c>
      <c r="B47" s="60"/>
      <c r="C47" s="60"/>
      <c r="D47" s="60"/>
      <c r="E47" s="59" t="e">
        <f>30*E17*E29*E45/1000</f>
        <v>#DIV/0!</v>
      </c>
      <c r="F47" s="1" t="s">
        <v>76</v>
      </c>
    </row>
    <row r="48" spans="1:10" ht="15" thickBot="1" x14ac:dyDescent="0.4">
      <c r="A48" s="60" t="s">
        <v>36</v>
      </c>
      <c r="B48" s="60"/>
      <c r="C48" s="60"/>
      <c r="D48" s="60"/>
      <c r="E48" s="59" t="e">
        <f>E32*(1+(E14-25)*E33)*E44</f>
        <v>#DIV/0!</v>
      </c>
      <c r="F48" s="1" t="s">
        <v>81</v>
      </c>
    </row>
    <row r="49" spans="1:7" ht="15" thickBot="1" x14ac:dyDescent="0.4">
      <c r="A49" s="60" t="s">
        <v>37</v>
      </c>
      <c r="B49" s="60"/>
      <c r="C49" s="60"/>
      <c r="D49" s="60"/>
      <c r="E49" s="59">
        <f>IF(E15&lt;10,10,IF(E15&lt;=20,E15,IF(E15&lt;=30,E15+5,IF(E15&lt;=40,E15+10,E15+15))))</f>
        <v>28</v>
      </c>
      <c r="F49" s="1" t="s">
        <v>82</v>
      </c>
    </row>
    <row r="51" spans="1:7" x14ac:dyDescent="0.35">
      <c r="A51" s="55" t="s">
        <v>83</v>
      </c>
      <c r="B51" s="55"/>
      <c r="C51" s="55"/>
      <c r="D51" s="55"/>
      <c r="E51" s="55"/>
      <c r="F51" s="55"/>
      <c r="G51" s="55"/>
    </row>
    <row r="52" spans="1:7" x14ac:dyDescent="0.35">
      <c r="A52" s="56" t="s">
        <v>84</v>
      </c>
      <c r="B52" s="56"/>
      <c r="C52" s="56"/>
      <c r="D52" s="56"/>
      <c r="E52" s="57" t="s">
        <v>99</v>
      </c>
      <c r="F52" s="57" t="s">
        <v>101</v>
      </c>
      <c r="G52" s="58" t="s">
        <v>100</v>
      </c>
    </row>
    <row r="53" spans="1:7" x14ac:dyDescent="0.35">
      <c r="A53" s="64" t="s">
        <v>85</v>
      </c>
      <c r="B53" s="64"/>
      <c r="C53" s="64"/>
      <c r="D53" s="65"/>
      <c r="E53" s="66"/>
      <c r="F53" s="66"/>
      <c r="G53" s="67">
        <f>E53*F53</f>
        <v>0</v>
      </c>
    </row>
    <row r="54" spans="1:7" x14ac:dyDescent="0.35">
      <c r="A54" s="64" t="s">
        <v>86</v>
      </c>
      <c r="B54" s="64"/>
      <c r="C54" s="64"/>
      <c r="D54" s="65"/>
      <c r="E54" s="66"/>
      <c r="F54" s="66"/>
      <c r="G54" s="67">
        <f t="shared" ref="G54:G68" si="0">E54*F54</f>
        <v>0</v>
      </c>
    </row>
    <row r="55" spans="1:7" x14ac:dyDescent="0.35">
      <c r="A55" s="64" t="s">
        <v>87</v>
      </c>
      <c r="B55" s="64"/>
      <c r="C55" s="64"/>
      <c r="D55" s="65"/>
      <c r="E55" s="66"/>
      <c r="F55" s="66"/>
      <c r="G55" s="67">
        <f t="shared" si="0"/>
        <v>0</v>
      </c>
    </row>
    <row r="56" spans="1:7" x14ac:dyDescent="0.35">
      <c r="A56" s="64" t="s">
        <v>88</v>
      </c>
      <c r="B56" s="64"/>
      <c r="C56" s="64"/>
      <c r="D56" s="65"/>
      <c r="E56" s="66"/>
      <c r="F56" s="66"/>
      <c r="G56" s="67">
        <f t="shared" si="0"/>
        <v>0</v>
      </c>
    </row>
    <row r="57" spans="1:7" x14ac:dyDescent="0.35">
      <c r="A57" s="64" t="s">
        <v>89</v>
      </c>
      <c r="B57" s="64"/>
      <c r="C57" s="64"/>
      <c r="D57" s="65"/>
      <c r="E57" s="66"/>
      <c r="F57" s="66"/>
      <c r="G57" s="67">
        <f t="shared" si="0"/>
        <v>0</v>
      </c>
    </row>
    <row r="58" spans="1:7" x14ac:dyDescent="0.35">
      <c r="A58" s="64" t="s">
        <v>89</v>
      </c>
      <c r="B58" s="64"/>
      <c r="C58" s="64"/>
      <c r="D58" s="65"/>
      <c r="E58" s="66"/>
      <c r="F58" s="66"/>
      <c r="G58" s="67">
        <f t="shared" si="0"/>
        <v>0</v>
      </c>
    </row>
    <row r="59" spans="1:7" x14ac:dyDescent="0.35">
      <c r="A59" s="64" t="s">
        <v>89</v>
      </c>
      <c r="B59" s="64"/>
      <c r="C59" s="64"/>
      <c r="D59" s="65"/>
      <c r="E59" s="66"/>
      <c r="F59" s="66"/>
      <c r="G59" s="67">
        <f t="shared" si="0"/>
        <v>0</v>
      </c>
    </row>
    <row r="60" spans="1:7" x14ac:dyDescent="0.35">
      <c r="A60" s="64" t="s">
        <v>90</v>
      </c>
      <c r="B60" s="64"/>
      <c r="C60" s="64"/>
      <c r="D60" s="65"/>
      <c r="E60" s="66"/>
      <c r="F60" s="66"/>
      <c r="G60" s="67">
        <f t="shared" si="0"/>
        <v>0</v>
      </c>
    </row>
    <row r="61" spans="1:7" x14ac:dyDescent="0.35">
      <c r="A61" s="64" t="s">
        <v>91</v>
      </c>
      <c r="B61" s="64"/>
      <c r="C61" s="64"/>
      <c r="D61" s="65"/>
      <c r="E61" s="66"/>
      <c r="F61" s="66"/>
      <c r="G61" s="67">
        <f t="shared" si="0"/>
        <v>0</v>
      </c>
    </row>
    <row r="62" spans="1:7" x14ac:dyDescent="0.35">
      <c r="A62" s="64" t="s">
        <v>92</v>
      </c>
      <c r="B62" s="64"/>
      <c r="C62" s="64"/>
      <c r="D62" s="65"/>
      <c r="E62" s="66"/>
      <c r="F62" s="66"/>
      <c r="G62" s="67">
        <f t="shared" si="0"/>
        <v>0</v>
      </c>
    </row>
    <row r="63" spans="1:7" x14ac:dyDescent="0.35">
      <c r="A63" s="64" t="s">
        <v>93</v>
      </c>
      <c r="B63" s="64"/>
      <c r="C63" s="64"/>
      <c r="D63" s="65"/>
      <c r="E63" s="66"/>
      <c r="F63" s="66"/>
      <c r="G63" s="67">
        <f t="shared" si="0"/>
        <v>0</v>
      </c>
    </row>
    <row r="64" spans="1:7" x14ac:dyDescent="0.35">
      <c r="A64" s="64" t="s">
        <v>94</v>
      </c>
      <c r="B64" s="64"/>
      <c r="C64" s="64"/>
      <c r="D64" s="65"/>
      <c r="E64" s="66"/>
      <c r="F64" s="66"/>
      <c r="G64" s="67">
        <f t="shared" si="0"/>
        <v>0</v>
      </c>
    </row>
    <row r="65" spans="1:8" x14ac:dyDescent="0.35">
      <c r="A65" s="64" t="s">
        <v>95</v>
      </c>
      <c r="B65" s="64"/>
      <c r="C65" s="64"/>
      <c r="D65" s="65"/>
      <c r="E65" s="66"/>
      <c r="F65" s="66"/>
      <c r="G65" s="67">
        <f t="shared" si="0"/>
        <v>0</v>
      </c>
    </row>
    <row r="66" spans="1:8" x14ac:dyDescent="0.35">
      <c r="A66" s="64" t="s">
        <v>96</v>
      </c>
      <c r="B66" s="64"/>
      <c r="C66" s="64"/>
      <c r="D66" s="65"/>
      <c r="E66" s="66"/>
      <c r="F66" s="66"/>
      <c r="G66" s="67">
        <f t="shared" si="0"/>
        <v>0</v>
      </c>
    </row>
    <row r="67" spans="1:8" x14ac:dyDescent="0.35">
      <c r="A67" s="64" t="s">
        <v>97</v>
      </c>
      <c r="B67" s="64"/>
      <c r="C67" s="64"/>
      <c r="D67" s="65"/>
      <c r="E67" s="66"/>
      <c r="F67" s="66"/>
      <c r="G67" s="67">
        <f t="shared" si="0"/>
        <v>0</v>
      </c>
    </row>
    <row r="68" spans="1:8" ht="15" thickBot="1" x14ac:dyDescent="0.4">
      <c r="A68" s="64" t="s">
        <v>98</v>
      </c>
      <c r="B68" s="64"/>
      <c r="C68" s="64"/>
      <c r="D68" s="65"/>
      <c r="E68" s="68"/>
      <c r="F68" s="68"/>
      <c r="G68" s="71">
        <f t="shared" si="0"/>
        <v>0</v>
      </c>
    </row>
    <row r="69" spans="1:8" ht="15" thickBot="1" x14ac:dyDescent="0.4">
      <c r="E69" s="69" t="s">
        <v>103</v>
      </c>
      <c r="F69" s="70"/>
      <c r="G69" s="20">
        <f>SUM(G53:G68)</f>
        <v>0</v>
      </c>
      <c r="H69" s="1" t="s">
        <v>105</v>
      </c>
    </row>
    <row r="70" spans="1:8" ht="15" thickBot="1" x14ac:dyDescent="0.4">
      <c r="E70" s="69" t="s">
        <v>104</v>
      </c>
      <c r="F70" s="70"/>
      <c r="G70" s="2">
        <v>18000</v>
      </c>
      <c r="H70" s="1" t="s">
        <v>106</v>
      </c>
    </row>
    <row r="71" spans="1:8" ht="15" thickBot="1" x14ac:dyDescent="0.4">
      <c r="E71" s="69" t="s">
        <v>102</v>
      </c>
      <c r="F71" s="70"/>
      <c r="G71" s="2">
        <v>2</v>
      </c>
    </row>
    <row r="72" spans="1:8" ht="15" thickBot="1" x14ac:dyDescent="0.4"/>
    <row r="73" spans="1:8" ht="15" thickBot="1" x14ac:dyDescent="0.4">
      <c r="E73" s="74" t="s">
        <v>107</v>
      </c>
      <c r="F73" s="72"/>
      <c r="G73" s="73">
        <f>IF(G71=1,G69,G70)</f>
        <v>18000</v>
      </c>
    </row>
    <row r="74" spans="1:8" ht="15" thickBot="1" x14ac:dyDescent="0.4">
      <c r="E74" s="76" t="s">
        <v>108</v>
      </c>
      <c r="F74" s="75"/>
      <c r="G74" s="73">
        <f>0.1*G73</f>
        <v>1800</v>
      </c>
    </row>
    <row r="75" spans="1:8" ht="15" thickBot="1" x14ac:dyDescent="0.4">
      <c r="E75" s="76" t="s">
        <v>109</v>
      </c>
      <c r="F75" s="75"/>
      <c r="G75" s="73">
        <v>2000</v>
      </c>
    </row>
    <row r="76" spans="1:8" ht="15" thickBot="1" x14ac:dyDescent="0.4">
      <c r="E76" s="76" t="s">
        <v>110</v>
      </c>
      <c r="F76" s="75"/>
      <c r="G76" s="73">
        <v>4000</v>
      </c>
    </row>
    <row r="77" spans="1:8" ht="15" thickBot="1" x14ac:dyDescent="0.4">
      <c r="E77" s="76" t="s">
        <v>111</v>
      </c>
      <c r="F77" s="75"/>
      <c r="G77" s="73">
        <v>0</v>
      </c>
    </row>
    <row r="78" spans="1:8" ht="15" thickBot="1" x14ac:dyDescent="0.4">
      <c r="E78" s="76" t="s">
        <v>112</v>
      </c>
      <c r="F78" s="75"/>
      <c r="G78" s="77">
        <v>0</v>
      </c>
    </row>
    <row r="79" spans="1:8" ht="15" thickBot="1" x14ac:dyDescent="0.4">
      <c r="A79" t="s">
        <v>114</v>
      </c>
      <c r="F79" s="79" t="s">
        <v>116</v>
      </c>
      <c r="G79" s="78">
        <f>SUM(G73:G76)</f>
        <v>25800</v>
      </c>
    </row>
    <row r="80" spans="1:8" ht="15.5" x14ac:dyDescent="0.35">
      <c r="A80" s="83" t="s">
        <v>115</v>
      </c>
      <c r="B80" s="83"/>
      <c r="C80" s="83"/>
      <c r="D80" s="83"/>
      <c r="E80" s="83"/>
    </row>
    <row r="81" spans="1:6" x14ac:dyDescent="0.35">
      <c r="A81" s="82" t="s">
        <v>117</v>
      </c>
      <c r="D81" s="80" t="e">
        <f>G79/E45</f>
        <v>#DIV/0!</v>
      </c>
      <c r="E81" s="81" t="s">
        <v>113</v>
      </c>
      <c r="F81" s="82" t="s">
        <v>118</v>
      </c>
    </row>
  </sheetData>
  <mergeCells count="61">
    <mergeCell ref="A39:D39"/>
    <mergeCell ref="A40:D40"/>
    <mergeCell ref="A80:E80"/>
    <mergeCell ref="A66:D66"/>
    <mergeCell ref="A67:D67"/>
    <mergeCell ref="A68:D68"/>
    <mergeCell ref="A52:D52"/>
    <mergeCell ref="A51:G51"/>
    <mergeCell ref="A61:D61"/>
    <mergeCell ref="A62:D62"/>
    <mergeCell ref="A63:D63"/>
    <mergeCell ref="A64:D64"/>
    <mergeCell ref="A65:D65"/>
    <mergeCell ref="A56:D56"/>
    <mergeCell ref="A57:D57"/>
    <mergeCell ref="A58:D58"/>
    <mergeCell ref="A59:D59"/>
    <mergeCell ref="A60:D60"/>
    <mergeCell ref="A53:D53"/>
    <mergeCell ref="A54:D54"/>
    <mergeCell ref="A55:D55"/>
    <mergeCell ref="A47:D47"/>
    <mergeCell ref="A48:D48"/>
    <mergeCell ref="A49:D49"/>
    <mergeCell ref="A41:D41"/>
    <mergeCell ref="A42:D42"/>
    <mergeCell ref="A43:D43"/>
    <mergeCell ref="A44:D44"/>
    <mergeCell ref="A45:D45"/>
    <mergeCell ref="A46:D46"/>
    <mergeCell ref="A6:F6"/>
    <mergeCell ref="A36:F36"/>
    <mergeCell ref="A37:D37"/>
    <mergeCell ref="A18:D18"/>
    <mergeCell ref="A19:D19"/>
    <mergeCell ref="A27:D27"/>
    <mergeCell ref="A28:D28"/>
    <mergeCell ref="A29:D29"/>
    <mergeCell ref="K14:M14"/>
    <mergeCell ref="K15:M15"/>
    <mergeCell ref="K16:M16"/>
    <mergeCell ref="A13:D13"/>
    <mergeCell ref="A14:D14"/>
    <mergeCell ref="A15:D15"/>
    <mergeCell ref="A16:D16"/>
    <mergeCell ref="F42:J42"/>
    <mergeCell ref="A1:E1"/>
    <mergeCell ref="A17:D17"/>
    <mergeCell ref="A20:D20"/>
    <mergeCell ref="F20:J20"/>
    <mergeCell ref="F15:J15"/>
    <mergeCell ref="F16:J16"/>
    <mergeCell ref="F17:J17"/>
    <mergeCell ref="F14:G14"/>
    <mergeCell ref="A38:D38"/>
    <mergeCell ref="A30:D30"/>
    <mergeCell ref="A31:D31"/>
    <mergeCell ref="A32:D32"/>
    <mergeCell ref="A34:D34"/>
    <mergeCell ref="H5:I5"/>
    <mergeCell ref="H6:I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8BA6-4066-4DE1-9FB6-70200710B04D}">
  <dimension ref="A1"/>
  <sheetViews>
    <sheetView workbookViewId="0">
      <selection activeCell="A2" sqref="A2"/>
    </sheetView>
  </sheetViews>
  <sheetFormatPr defaultColWidth="12.58203125" defaultRowHeight="17" customHeight="1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dos Santos</dc:creator>
  <cp:lastModifiedBy>Pedro dos Santos</cp:lastModifiedBy>
  <dcterms:created xsi:type="dcterms:W3CDTF">2026-05-20T21:11:41Z</dcterms:created>
  <dcterms:modified xsi:type="dcterms:W3CDTF">2026-05-25T04:21:09Z</dcterms:modified>
</cp:coreProperties>
</file>