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9E3C3CD-14F4-4CC8-B913-B1AFAC5B2F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mensionamento" sheetId="1" r:id="rId1"/>
    <sheet name="Payba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5uibO6rm1ARxK4uhQ14AdFTX7AZwkmnTw1gte+tYfq4="/>
    </ext>
  </extLst>
</workbook>
</file>

<file path=xl/calcChain.xml><?xml version="1.0" encoding="utf-8"?>
<calcChain xmlns="http://schemas.openxmlformats.org/spreadsheetml/2006/main">
  <c r="E29" i="1" l="1"/>
  <c r="P6" i="2" l="1"/>
  <c r="P5" i="2"/>
  <c r="R4" i="2"/>
  <c r="P4" i="2"/>
  <c r="R3" i="2"/>
  <c r="P3" i="2"/>
  <c r="E17" i="2" s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E45" i="1"/>
  <c r="E36" i="1"/>
  <c r="E35" i="1"/>
  <c r="E34" i="1"/>
  <c r="E33" i="1"/>
  <c r="E32" i="1"/>
  <c r="E38" i="1" s="1"/>
  <c r="E39" i="1" s="1"/>
  <c r="F17" i="2" l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G65" i="1"/>
  <c r="G69" i="1" s="1"/>
  <c r="G70" i="1" s="1"/>
  <c r="G75" i="1" s="1"/>
  <c r="E40" i="1"/>
  <c r="E44" i="1" s="1"/>
  <c r="E41" i="1"/>
  <c r="E42" i="1" s="1"/>
  <c r="E18" i="2"/>
  <c r="D77" i="1" l="1"/>
  <c r="I16" i="2"/>
  <c r="E19" i="2"/>
  <c r="E43" i="1"/>
  <c r="E37" i="1"/>
  <c r="E20" i="2" l="1"/>
  <c r="D29" i="2"/>
  <c r="D40" i="2"/>
  <c r="D20" i="2"/>
  <c r="D31" i="2"/>
  <c r="D42" i="2"/>
  <c r="D22" i="2"/>
  <c r="D44" i="2"/>
  <c r="D37" i="2"/>
  <c r="D17" i="2"/>
  <c r="G17" i="2" s="1"/>
  <c r="D28" i="2"/>
  <c r="D32" i="2"/>
  <c r="D33" i="2"/>
  <c r="D24" i="2"/>
  <c r="D36" i="2"/>
  <c r="D35" i="2"/>
  <c r="D46" i="2"/>
  <c r="D26" i="2"/>
  <c r="D39" i="2"/>
  <c r="D19" i="2"/>
  <c r="G19" i="2" s="1"/>
  <c r="D30" i="2"/>
  <c r="D41" i="2"/>
  <c r="D21" i="2"/>
  <c r="D38" i="2"/>
  <c r="D27" i="2"/>
  <c r="D18" i="2"/>
  <c r="G18" i="2" s="1"/>
  <c r="D43" i="2"/>
  <c r="D23" i="2"/>
  <c r="D34" i="2"/>
  <c r="D45" i="2"/>
  <c r="D25" i="2"/>
  <c r="L16" i="2"/>
  <c r="K16" i="2"/>
  <c r="J16" i="2"/>
  <c r="H19" i="2" l="1"/>
  <c r="I19" i="2" s="1"/>
  <c r="K19" i="2" s="1"/>
  <c r="H17" i="2"/>
  <c r="I17" i="2" s="1"/>
  <c r="H18" i="2"/>
  <c r="I18" i="2" s="1"/>
  <c r="K18" i="2" s="1"/>
  <c r="G20" i="2"/>
  <c r="E21" i="2"/>
  <c r="K17" i="2" l="1"/>
  <c r="J17" i="2"/>
  <c r="J18" i="2" s="1"/>
  <c r="J19" i="2" s="1"/>
  <c r="H20" i="2"/>
  <c r="I20" i="2" s="1"/>
  <c r="E22" i="2"/>
  <c r="G21" i="2"/>
  <c r="K20" i="2" l="1"/>
  <c r="J20" i="2"/>
  <c r="H21" i="2"/>
  <c r="I21" i="2" s="1"/>
  <c r="K21" i="2" s="1"/>
  <c r="G22" i="2"/>
  <c r="E23" i="2"/>
  <c r="L17" i="2"/>
  <c r="L18" i="2" s="1"/>
  <c r="L19" i="2" s="1"/>
  <c r="L20" i="2" s="1"/>
  <c r="E24" i="2" l="1"/>
  <c r="G23" i="2"/>
  <c r="J21" i="2"/>
  <c r="L21" i="2"/>
  <c r="H22" i="2"/>
  <c r="I22" i="2" s="1"/>
  <c r="K22" i="2" l="1"/>
  <c r="L22" i="2" s="1"/>
  <c r="J22" i="2"/>
  <c r="H23" i="2"/>
  <c r="I23" i="2" s="1"/>
  <c r="K23" i="2" s="1"/>
  <c r="G24" i="2"/>
  <c r="E25" i="2"/>
  <c r="H24" i="2" l="1"/>
  <c r="I24" i="2" s="1"/>
  <c r="K24" i="2" s="1"/>
  <c r="G25" i="2"/>
  <c r="E26" i="2"/>
  <c r="J23" i="2"/>
  <c r="L23" i="2"/>
  <c r="G26" i="2" l="1"/>
  <c r="E27" i="2"/>
  <c r="L24" i="2"/>
  <c r="J24" i="2"/>
  <c r="H25" i="2"/>
  <c r="I25" i="2" s="1"/>
  <c r="K25" i="2" s="1"/>
  <c r="J25" i="2" l="1"/>
  <c r="L25" i="2"/>
  <c r="E28" i="2"/>
  <c r="G27" i="2"/>
  <c r="H26" i="2"/>
  <c r="I26" i="2" s="1"/>
  <c r="K26" i="2" s="1"/>
  <c r="H27" i="2" l="1"/>
  <c r="I27" i="2" s="1"/>
  <c r="K27" i="2" s="1"/>
  <c r="E29" i="2"/>
  <c r="G28" i="2"/>
  <c r="L26" i="2"/>
  <c r="J26" i="2"/>
  <c r="J27" i="2" l="1"/>
  <c r="L27" i="2"/>
  <c r="H28" i="2"/>
  <c r="I28" i="2" s="1"/>
  <c r="K28" i="2" s="1"/>
  <c r="G29" i="2"/>
  <c r="E30" i="2"/>
  <c r="E31" i="2" l="1"/>
  <c r="G30" i="2"/>
  <c r="H29" i="2"/>
  <c r="I29" i="2" s="1"/>
  <c r="K29" i="2" s="1"/>
  <c r="L28" i="2"/>
  <c r="J28" i="2"/>
  <c r="J29" i="2" l="1"/>
  <c r="L29" i="2"/>
  <c r="H30" i="2"/>
  <c r="I30" i="2" s="1"/>
  <c r="K30" i="2" s="1"/>
  <c r="G31" i="2"/>
  <c r="E32" i="2"/>
  <c r="H31" i="2" l="1"/>
  <c r="I31" i="2" s="1"/>
  <c r="K31" i="2" s="1"/>
  <c r="E33" i="2"/>
  <c r="G32" i="2"/>
  <c r="L30" i="2"/>
  <c r="J30" i="2"/>
  <c r="L31" i="2" l="1"/>
  <c r="J31" i="2"/>
  <c r="H32" i="2"/>
  <c r="I32" i="2" s="1"/>
  <c r="G33" i="2"/>
  <c r="E34" i="2"/>
  <c r="K32" i="2" l="1"/>
  <c r="L32" i="2" s="1"/>
  <c r="J32" i="2"/>
  <c r="H33" i="2"/>
  <c r="I33" i="2" s="1"/>
  <c r="K33" i="2" s="1"/>
  <c r="E35" i="2"/>
  <c r="G34" i="2"/>
  <c r="H34" i="2" l="1"/>
  <c r="I34" i="2" s="1"/>
  <c r="K34" i="2" s="1"/>
  <c r="G35" i="2"/>
  <c r="E36" i="2"/>
  <c r="J33" i="2"/>
  <c r="L33" i="2"/>
  <c r="L34" i="2" l="1"/>
  <c r="E37" i="2"/>
  <c r="G36" i="2"/>
  <c r="J34" i="2"/>
  <c r="H35" i="2"/>
  <c r="I35" i="2" s="1"/>
  <c r="K35" i="2" s="1"/>
  <c r="J35" i="2" l="1"/>
  <c r="H36" i="2"/>
  <c r="I36" i="2" s="1"/>
  <c r="K36" i="2" s="1"/>
  <c r="G37" i="2"/>
  <c r="E38" i="2"/>
  <c r="L35" i="2"/>
  <c r="L36" i="2" l="1"/>
  <c r="E39" i="2"/>
  <c r="G38" i="2"/>
  <c r="H37" i="2"/>
  <c r="I37" i="2" s="1"/>
  <c r="K37" i="2" s="1"/>
  <c r="J36" i="2"/>
  <c r="J37" i="2" l="1"/>
  <c r="H38" i="2"/>
  <c r="I38" i="2" s="1"/>
  <c r="K38" i="2" s="1"/>
  <c r="E40" i="2"/>
  <c r="G39" i="2"/>
  <c r="L37" i="2"/>
  <c r="H39" i="2" l="1"/>
  <c r="I39" i="2" s="1"/>
  <c r="K39" i="2" s="1"/>
  <c r="L38" i="2"/>
  <c r="G40" i="2"/>
  <c r="E41" i="2"/>
  <c r="J38" i="2"/>
  <c r="E42" i="2" l="1"/>
  <c r="G41" i="2"/>
  <c r="J39" i="2"/>
  <c r="H40" i="2"/>
  <c r="I40" i="2" s="1"/>
  <c r="K40" i="2" s="1"/>
  <c r="L39" i="2"/>
  <c r="L40" i="2" l="1"/>
  <c r="J40" i="2"/>
  <c r="H41" i="2"/>
  <c r="I41" i="2" s="1"/>
  <c r="K41" i="2" s="1"/>
  <c r="G42" i="2"/>
  <c r="E43" i="2"/>
  <c r="H42" i="2" l="1"/>
  <c r="I42" i="2"/>
  <c r="K42" i="2" s="1"/>
  <c r="E44" i="2"/>
  <c r="G43" i="2"/>
  <c r="J41" i="2"/>
  <c r="L41" i="2"/>
  <c r="L42" i="2" s="1"/>
  <c r="J42" i="2" l="1"/>
  <c r="G44" i="2"/>
  <c r="E45" i="2"/>
  <c r="H43" i="2"/>
  <c r="I43" i="2" s="1"/>
  <c r="K43" i="2" l="1"/>
  <c r="L43" i="2" s="1"/>
  <c r="J43" i="2"/>
  <c r="G45" i="2"/>
  <c r="E46" i="2"/>
  <c r="G46" i="2" s="1"/>
  <c r="H44" i="2"/>
  <c r="I44" i="2" s="1"/>
  <c r="K44" i="2" s="1"/>
  <c r="J44" i="2" l="1"/>
  <c r="H46" i="2"/>
  <c r="I46" i="2" s="1"/>
  <c r="H45" i="2"/>
  <c r="I45" i="2" s="1"/>
  <c r="K45" i="2" s="1"/>
  <c r="L44" i="2"/>
  <c r="K46" i="2" l="1"/>
  <c r="D49" i="2" s="1"/>
  <c r="D50" i="2"/>
  <c r="L45" i="2"/>
  <c r="L46" i="2" s="1"/>
  <c r="J45" i="2"/>
  <c r="J46" i="2" s="1"/>
</calcChain>
</file>

<file path=xl/sharedStrings.xml><?xml version="1.0" encoding="utf-8"?>
<sst xmlns="http://schemas.openxmlformats.org/spreadsheetml/2006/main" count="184" uniqueCount="178">
  <si>
    <t>Pedro Kzan - Eng. Elétrica | EESC USP</t>
  </si>
  <si>
    <t>Dimensionamento de Sistema Fotovoltaico ON-GRID para usuário micro ou minigerador com Payback - Dimens. Inicial</t>
  </si>
  <si>
    <t>À direita das células preenchíveis, seguem explicações.</t>
  </si>
  <si>
    <t>Legenda:</t>
  </si>
  <si>
    <t>Dados alteráveis:</t>
  </si>
  <si>
    <t>Dados Indicados (inputs)</t>
  </si>
  <si>
    <t>Dados fixos:</t>
  </si>
  <si>
    <t>Classe do Usuário</t>
  </si>
  <si>
    <t>Disponível na conta de energia, assim como o modelo tarifário.</t>
  </si>
  <si>
    <t>Grupo B: tensão menor que 2,3kV</t>
  </si>
  <si>
    <t>Modelo tarifário</t>
  </si>
  <si>
    <t>Grupo A: tensão maior que 2,3kV</t>
  </si>
  <si>
    <t>Cidade</t>
  </si>
  <si>
    <t>São Carlos</t>
  </si>
  <si>
    <t>Tmin</t>
  </si>
  <si>
    <t>ºC.</t>
  </si>
  <si>
    <t>Energia de Custo de Disponibilidade (Grupo B):</t>
  </si>
  <si>
    <t>Sistema monofásico: 30kWh</t>
  </si>
  <si>
    <t>Latitude</t>
  </si>
  <si>
    <r>
      <rPr>
        <sz val="8"/>
        <color theme="1"/>
        <rFont val="Trebuchet MS"/>
        <family val="2"/>
      </rPr>
      <t>º/</t>
    </r>
    <r>
      <rPr>
        <b/>
        <sz val="8"/>
        <color theme="1"/>
        <rFont val="Trebuchet MS"/>
        <family val="2"/>
      </rPr>
      <t>Sul</t>
    </r>
    <r>
      <rPr>
        <sz val="8"/>
        <color theme="1"/>
        <rFont val="Trebuchet MS"/>
        <family val="2"/>
      </rPr>
      <t>.</t>
    </r>
  </si>
  <si>
    <t>Sistema bifásico (3 fios): 50kWh</t>
  </si>
  <si>
    <t>Longitude</t>
  </si>
  <si>
    <t>º/Oeste.</t>
  </si>
  <si>
    <t>Sistema trifásico: 100kWh</t>
  </si>
  <si>
    <t>Irradiação Solar (GHI)</t>
  </si>
  <si>
    <t>*Sundata.</t>
  </si>
  <si>
    <t>(Grupo B) custo consumo TUSD (R$/kWh)</t>
  </si>
  <si>
    <t>Da conta de energia, disponível lá ou publicamente pela concessionária. *Se for tarifa branca, escolher o horário fora de ponta para facilitar cálculo. Espere um retorno 5-9% maior na realidade</t>
  </si>
  <si>
    <t>(Grupo B) custo consumo TE (R$/kWh)</t>
  </si>
  <si>
    <t>Se não há TUSD e TE separados na conta de energia, considere TE=TUSD.</t>
  </si>
  <si>
    <t>(Grupo A) c. cons. Fponta TUSD cheio (R$/kWh)</t>
  </si>
  <si>
    <t>TE: custo da energia; TUSD: custo do transporte dela.</t>
  </si>
  <si>
    <t>(Grupo A) c. cons. Fponta TE cheio (R$/kWh)</t>
  </si>
  <si>
    <t>https://portalrelatorios.aneel.gov.br/luznatarifa/basestarifas</t>
  </si>
  <si>
    <t>*Por fins de aproximação, desconsidero a ponta para o cálculo de Payback pois em Pernambuco ponta começa às 17:30, mas no horário a geração é tão pouca que desconsidero para facilitar cálculos.</t>
  </si>
  <si>
    <t>(Grupo A) c. cons. Fponta TUSD SCEE (R$/kWh)</t>
  </si>
  <si>
    <t>*Energia injetada</t>
  </si>
  <si>
    <t>(Grupo A) c. cons. Fponta TE SCEE (R$/kWh)</t>
  </si>
  <si>
    <t>(Grupo A) c. demanda geração TUSDG (R$/kWh)</t>
  </si>
  <si>
    <t>Fio B</t>
  </si>
  <si>
    <t>https://institutosolar.com/como-calcular-o-valor-do-fio-b-para-energia-solar/#:~:text=Para%20se%20obter%20o%20valor,Tarifas%20%3E%3E%20Relat%C3%B3rios%20e%20Indicadores.</t>
  </si>
  <si>
    <t>Porcentagem fio B</t>
  </si>
  <si>
    <t>90% = base 2029, irá mudar com nova resolução ANEEL</t>
  </si>
  <si>
    <t>Energia Mensal (EM)</t>
  </si>
  <si>
    <t>kWh/mês.</t>
  </si>
  <si>
    <t>Eficiência do sistema todo (ηsis)</t>
  </si>
  <si>
    <t>Escolher entre [0,7-0,9] -&gt; perdas surgem de temperatura, inversor, sujeira/poeira, cabeamento, mismatch, sombreamento, degradação.</t>
  </si>
  <si>
    <t>Potência do Painel (PMOD)</t>
  </si>
  <si>
    <t>W -&gt; escolha do projetista.</t>
  </si>
  <si>
    <t>Sobrecarga do Inversor (PCC/PCA)</t>
  </si>
  <si>
    <t>Escolher entre [1-1,25] -&gt; conferir no manual do inversor.</t>
  </si>
  <si>
    <t>Tensão em Vazio do Módulo</t>
  </si>
  <si>
    <t>V vide datasheet do módulo.</t>
  </si>
  <si>
    <t>Coeficiente de temperatura do módulo (α)</t>
  </si>
  <si>
    <t>Vide datasheet do módulo.</t>
  </si>
  <si>
    <t>Nº de MPPTs do Inversor</t>
  </si>
  <si>
    <t>Conexões no inversor.</t>
  </si>
  <si>
    <t>Dimensionamento Preliminar (outputs)</t>
  </si>
  <si>
    <t>Consumo de energia do cliente</t>
  </si>
  <si>
    <t>Energia média mensal (kWh/mês) obtida da conta de energia; média dos últimos 12 meses.</t>
  </si>
  <si>
    <t>(Grupo B) Custo de energia consumida</t>
  </si>
  <si>
    <t>R$/kWh.</t>
  </si>
  <si>
    <t>(Grupo B) custo de energia injetada</t>
  </si>
  <si>
    <t>(Grupo A) custo E consumo Fponta</t>
  </si>
  <si>
    <t>(Grupo A) custo energia injetada</t>
  </si>
  <si>
    <t>R$/kWh. Desconsiderar se é grupo B</t>
  </si>
  <si>
    <t>(Grupo A) Demanda de geração contratada ótima</t>
  </si>
  <si>
    <r>
      <rPr>
        <sz val="8"/>
        <color theme="1"/>
        <rFont val="Trebuchet MS"/>
        <family val="2"/>
      </rPr>
      <t xml:space="preserve">kW, </t>
    </r>
    <r>
      <rPr>
        <i/>
        <sz val="8"/>
        <color theme="1"/>
        <rFont val="Trebuchet MS"/>
        <family val="2"/>
      </rPr>
      <t>aproximado</t>
    </r>
  </si>
  <si>
    <t>Potência Fotovoltaica teórica</t>
  </si>
  <si>
    <r>
      <rPr>
        <sz val="8"/>
        <color theme="1"/>
        <rFont val="Trebuchet MS"/>
        <family val="2"/>
      </rPr>
      <t>W; P</t>
    </r>
    <r>
      <rPr>
        <sz val="5"/>
        <color theme="1"/>
        <rFont val="Trebuchet MS"/>
        <family val="2"/>
      </rPr>
      <t>FV</t>
    </r>
    <r>
      <rPr>
        <sz val="8"/>
        <color theme="1"/>
        <rFont val="Trebuchet MS"/>
        <family val="2"/>
      </rPr>
      <t>=1000*E</t>
    </r>
    <r>
      <rPr>
        <sz val="5"/>
        <color theme="1"/>
        <rFont val="Trebuchet MS"/>
        <family val="2"/>
      </rPr>
      <t>FV</t>
    </r>
    <r>
      <rPr>
        <sz val="8"/>
        <color theme="1"/>
        <rFont val="Trebuchet MS"/>
        <family val="2"/>
      </rPr>
      <t>/(30*GHI*ηsis).</t>
    </r>
  </si>
  <si>
    <t>Número de módulos</t>
  </si>
  <si>
    <t>(Arredondado pra cima).</t>
  </si>
  <si>
    <t>Nº de módulos/Nº de MPPT</t>
  </si>
  <si>
    <t>Potência Fotovoltaica real</t>
  </si>
  <si>
    <t>W (com nº inteiro de módulos).</t>
  </si>
  <si>
    <t>Potência do Inversor em CA</t>
  </si>
  <si>
    <r>
      <rPr>
        <sz val="8"/>
        <color theme="1"/>
        <rFont val="Trebuchet MS"/>
        <family val="2"/>
      </rPr>
      <t>W;</t>
    </r>
    <r>
      <rPr>
        <i/>
        <sz val="8"/>
        <color theme="1"/>
        <rFont val="Trebuchet MS"/>
        <family val="2"/>
      </rPr>
      <t xml:space="preserve"> aproximado.</t>
    </r>
  </si>
  <si>
    <t>Energia Fotovoltaica real</t>
  </si>
  <si>
    <t>kWh; Geração estimada, a potência é a nominal do inversor</t>
  </si>
  <si>
    <t>Tensão máxima por MPPT</t>
  </si>
  <si>
    <t>Conferir datasheet e ver se o inversor suporta, precisa de VMPPTmax_Inverter_Datasheet &gt; do que este valor.</t>
  </si>
  <si>
    <t>Inclinação ideal</t>
  </si>
  <si>
    <r>
      <rPr>
        <sz val="8"/>
        <color theme="1"/>
        <rFont val="Trebuchet MS"/>
        <family val="2"/>
      </rPr>
      <t>º/</t>
    </r>
    <r>
      <rPr>
        <b/>
        <sz val="8"/>
        <color theme="1"/>
        <rFont val="Trebuchet MS"/>
        <family val="2"/>
      </rPr>
      <t>Norte</t>
    </r>
    <r>
      <rPr>
        <sz val="8"/>
        <color theme="1"/>
        <rFont val="Trebuchet MS"/>
        <family val="2"/>
      </rPr>
      <t>; escolha ótima se for possível escolher a inclinação (compensa pela inclinação da latitude).</t>
    </r>
  </si>
  <si>
    <t>Custos</t>
  </si>
  <si>
    <t>Equipamento</t>
  </si>
  <si>
    <t>Quantidade</t>
  </si>
  <si>
    <t>Custo unitário</t>
  </si>
  <si>
    <t>Custo total</t>
  </si>
  <si>
    <t>Módulo Fotovoltaico Longi Solar 550W</t>
  </si>
  <si>
    <t>Inversor WEG SIWM300H M050 5kW</t>
  </si>
  <si>
    <t>String box</t>
  </si>
  <si>
    <t>Conjunto conector</t>
  </si>
  <si>
    <t>Cabo solar</t>
  </si>
  <si>
    <t>(metros)</t>
  </si>
  <si>
    <t>Preço total conjunto estimado</t>
  </si>
  <si>
    <r>
      <rPr>
        <sz val="8"/>
        <color theme="1"/>
        <rFont val="Trebuchet MS"/>
        <family val="2"/>
      </rPr>
      <t xml:space="preserve">*fonte: estimativa via preços em </t>
    </r>
    <r>
      <rPr>
        <u/>
        <sz val="8"/>
        <color rgb="FF1155CC"/>
        <rFont val="Trebuchet MS"/>
        <family val="2"/>
      </rPr>
      <t>PortalSolar.com.br</t>
    </r>
  </si>
  <si>
    <t>Grampo intermediário</t>
  </si>
  <si>
    <t>Grampo terminador</t>
  </si>
  <si>
    <t>Hook de aço Kit</t>
  </si>
  <si>
    <t>Emenda perfil</t>
  </si>
  <si>
    <t>Grampo de aterramento</t>
  </si>
  <si>
    <t>Abraçadeira cabos</t>
  </si>
  <si>
    <t>Clip de aterramento</t>
  </si>
  <si>
    <t>Perfil de Alumínio Anodizado p/ módulos</t>
  </si>
  <si>
    <t>Eletrobox (quadro CA) e outros</t>
  </si>
  <si>
    <t>Preço Distribuído (1)</t>
  </si>
  <si>
    <t>Preço item a item.</t>
  </si>
  <si>
    <t>Preço Concentrado (2)</t>
  </si>
  <si>
    <t>-</t>
  </si>
  <si>
    <t>Preço de um kit solar pronto.</t>
  </si>
  <si>
    <t>Escolher (1) ou (2)</t>
  </si>
  <si>
    <t>Valor do material</t>
  </si>
  <si>
    <t>Transporte (10% do valor do material)</t>
  </si>
  <si>
    <t>Estudos e Análises</t>
  </si>
  <si>
    <t>Ligação à rede e mão de obra</t>
  </si>
  <si>
    <t>Outro</t>
  </si>
  <si>
    <t>Desconto</t>
  </si>
  <si>
    <t>Valor do Investimento</t>
  </si>
  <si>
    <t>Total:</t>
  </si>
  <si>
    <t>Avaliação Econômica</t>
  </si>
  <si>
    <t>Custo / Watt-pico</t>
  </si>
  <si>
    <t>/Wp</t>
  </si>
  <si>
    <t>Quanto menor, melhor</t>
  </si>
  <si>
    <t>*É estimado que com BESS instalado e estratégia de usar para autoconsumo e evitar pagar FioB ajude ainda mais a valorizar o projeto.</t>
  </si>
  <si>
    <t>*Para sistemas do grupo A, o aproveitamento monetário é muito maior suprindo autoconsumo - recomendável instalar BESS.</t>
  </si>
  <si>
    <t>*O preço dos kits solares têm diminuído e a energia tem se valorizado mais nos últimos anos</t>
  </si>
  <si>
    <t>Viabilidade Econômica</t>
  </si>
  <si>
    <t>Células Auxiliares + Porcentagem FioB (desconta na injetada)</t>
  </si>
  <si>
    <t>Fatores de Influência Adotados</t>
  </si>
  <si>
    <t>Valor</t>
  </si>
  <si>
    <t>TE_ef cheio</t>
  </si>
  <si>
    <t>TE_ef SCEE (GA)</t>
  </si>
  <si>
    <t xml:space="preserve">Previsão de aumento do custo Energia </t>
  </si>
  <si>
    <t>/ano</t>
  </si>
  <si>
    <t>Baseado no aumento médio do custo da energia nos últimos anos.</t>
  </si>
  <si>
    <t>TUSD_ef cheio</t>
  </si>
  <si>
    <t>TUSD SCEE (GA)</t>
  </si>
  <si>
    <t>Taxa de Autoconsumo</t>
  </si>
  <si>
    <t>*Qnt. geração usada para suprir o próprio consumo, não injetada - residência, escolher entre 20-40% se não houver armazenamento (BESS); com BESS, depende da estratégia adotada no sistema.</t>
  </si>
  <si>
    <t>FioB_ef</t>
  </si>
  <si>
    <t>*Base para uso futuro</t>
  </si>
  <si>
    <t>Taxa de Desconto</t>
  </si>
  <si>
    <t>Taxa usada para cálculo do Fluxo Descontado e VPL.</t>
  </si>
  <si>
    <t>Porcentagem Fio B</t>
  </si>
  <si>
    <r>
      <rPr>
        <sz val="7"/>
        <color theme="1"/>
        <rFont val="Trebuchet MS"/>
        <family val="2"/>
      </rPr>
      <t>90% = base (2029) até nova resolução ANEEL. *</t>
    </r>
    <r>
      <rPr>
        <i/>
        <sz val="7"/>
        <color theme="1"/>
        <rFont val="Trebuchet MS"/>
        <family val="2"/>
      </rPr>
      <t>Base para uso futuro</t>
    </r>
  </si>
  <si>
    <t>Vida útil do inversor</t>
  </si>
  <si>
    <t>anos</t>
  </si>
  <si>
    <t>Estimativa.</t>
  </si>
  <si>
    <t>Custo de manutenção em relação à economia anual</t>
  </si>
  <si>
    <t>Em torno de 1%-5% do custo de Energia Gerada para limpeza do módulos.</t>
  </si>
  <si>
    <t>Custos total do inversor em relação à economia anual</t>
  </si>
  <si>
    <t>Em torno de 30-70%. Apenas para efeitos de troca do inversor após a vida útil.</t>
  </si>
  <si>
    <t xml:space="preserve">Perda de eficiencia do painel </t>
  </si>
  <si>
    <t>1º ano.</t>
  </si>
  <si>
    <t>Perda de eficiencia do painel (outros anos)</t>
  </si>
  <si>
    <t>2º ano em diante.</t>
  </si>
  <si>
    <t>Cenário: Pessimista (1); Base (2); Otimista (3)</t>
  </si>
  <si>
    <t>FioB% do TUSD (estimativa geral)</t>
  </si>
  <si>
    <t>Pois o FioB é uma tarifa baseada na TUSD. Conforme TUSD aumenta de valor, FioB também aumenta e pode mudar de forma independente por outras dinâmicas</t>
  </si>
  <si>
    <t>Payback simples</t>
  </si>
  <si>
    <t>Payback descontado (supondo desvalorização)</t>
  </si>
  <si>
    <t>Ano</t>
  </si>
  <si>
    <t>Energia Anual Gerada (kWh)</t>
  </si>
  <si>
    <t>Custo do kWh de Energia Consumida (R$)</t>
  </si>
  <si>
    <t>Custo do kWh de Energia Injetada (R$)</t>
  </si>
  <si>
    <t>Economia (R$)</t>
  </si>
  <si>
    <t>Manutenção (R$)</t>
  </si>
  <si>
    <t>Fluxo de Caixa Anual (R$)</t>
  </si>
  <si>
    <t>Fluxo Acumulado (R$)</t>
  </si>
  <si>
    <t>Fluxo Descontado (R$)</t>
  </si>
  <si>
    <t>Fluxo Descontado Acumulado (R$)</t>
  </si>
  <si>
    <t>VPL</t>
  </si>
  <si>
    <t>TIR</t>
  </si>
  <si>
    <t>VPL (Valor Presente Líquido): Soma de todos os fluxos de caixa trazidos a valor presente pela taxa de desconto, incluindo o investimento inicial. Representa o ganho líquido do projeto em valores de hoje. VPL &gt; 0 indica que o projeto se paga e ainda gera retorno acima da taxa de desconto adotada. Sua progressão pode ser vista no fluxo descontado.</t>
  </si>
  <si>
    <t>TIR (Taxa Interna de Retorno): Taxa de desconto que zera o VPL; representa a rentabilidade equivalente do investimento.</t>
  </si>
  <si>
    <t>A</t>
  </si>
  <si>
    <t>Verde</t>
  </si>
  <si>
    <r>
      <t>*Será decidido pela ANEEL nova valorização da energia injetável. Escolhi cenário 1: só vale TE; cenário 2: TE+TUSD(1-FioB</t>
    </r>
    <r>
      <rPr>
        <strike/>
        <sz val="7"/>
        <color theme="1"/>
        <rFont val="Trebuchet MS"/>
        <family val="2"/>
      </rPr>
      <t>%)</t>
    </r>
    <r>
      <rPr>
        <sz val="7"/>
        <color theme="1"/>
        <rFont val="Trebuchet MS"/>
        <family val="2"/>
      </rPr>
      <t>; cenário 3: preço cheio, TE+TUSD (teto, benefícios).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</si>
</sst>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R$ -416]* #,##0.00_);_([$R$ -416]* \(#,##0.00\);_([$R$ -416]* &quot;-&quot;??_);_(@_)"/>
    <numFmt numFmtId="165" formatCode="&quot;R$&quot;\ #,##0.00"/>
    <numFmt numFmtId="166" formatCode="_-&quot;R$&quot;\ * #,##0.00_-;\-&quot;R$&quot;\ * #,##0.00_-;_-&quot;R$&quot;\ * &quot;-&quot;??_-;_-@"/>
  </numFmts>
  <fonts count="26" x14ac:knownFonts="1">
    <font>
      <sz val="11"/>
      <color theme="1"/>
      <name val="Trebuchet MS"/>
      <scheme val="minor"/>
    </font>
    <font>
      <sz val="11"/>
      <color theme="1"/>
      <name val="Trebuchet MS"/>
      <family val="2"/>
    </font>
    <font>
      <sz val="11"/>
      <name val="Trebuchet MS"/>
      <family val="2"/>
    </font>
    <font>
      <b/>
      <sz val="11"/>
      <color theme="1"/>
      <name val="Trebuchet MS"/>
      <family val="2"/>
    </font>
    <font>
      <sz val="8"/>
      <color theme="1"/>
      <name val="Trebuchet MS"/>
      <family val="2"/>
    </font>
    <font>
      <b/>
      <sz val="9"/>
      <color theme="1"/>
      <name val="Trebuchet MS"/>
      <family val="2"/>
    </font>
    <font>
      <sz val="10"/>
      <color theme="1"/>
      <name val="Trebuchet MS"/>
      <family val="2"/>
    </font>
    <font>
      <i/>
      <sz val="8"/>
      <color theme="1"/>
      <name val="Trebuchet MS"/>
      <family val="2"/>
    </font>
    <font>
      <sz val="9"/>
      <color theme="1"/>
      <name val="Trebuchet MS"/>
      <family val="2"/>
    </font>
    <font>
      <sz val="7"/>
      <color theme="1"/>
      <name val="Trebuchet MS"/>
      <family val="2"/>
    </font>
    <font>
      <b/>
      <sz val="8"/>
      <color theme="1"/>
      <name val="Trebuchet MS"/>
      <family val="2"/>
    </font>
    <font>
      <u/>
      <sz val="7"/>
      <color theme="10"/>
      <name val="Trebuchet MS"/>
      <family val="2"/>
    </font>
    <font>
      <u/>
      <sz val="7"/>
      <color theme="10"/>
      <name val="Trebuchet MS"/>
      <family val="2"/>
    </font>
    <font>
      <u/>
      <sz val="8"/>
      <color theme="10"/>
      <name val="Trebuchet MS"/>
      <family val="2"/>
    </font>
    <font>
      <u/>
      <sz val="8"/>
      <color theme="1"/>
      <name val="Trebuchet MS"/>
      <family val="2"/>
    </font>
    <font>
      <b/>
      <sz val="10"/>
      <color theme="1"/>
      <name val="Trebuchet MS"/>
      <family val="2"/>
    </font>
    <font>
      <sz val="12"/>
      <color theme="1"/>
      <name val="Trebuchet MS"/>
      <family val="2"/>
    </font>
    <font>
      <sz val="15"/>
      <color theme="1"/>
      <name val="Trebuchet MS"/>
      <family val="2"/>
    </font>
    <font>
      <i/>
      <sz val="7"/>
      <color theme="1"/>
      <name val="Trebuchet MS"/>
      <family val="2"/>
    </font>
    <font>
      <sz val="8"/>
      <color rgb="FF000000"/>
      <name val="Trebuchet MS"/>
      <family val="2"/>
    </font>
    <font>
      <sz val="7"/>
      <color rgb="FF000000"/>
      <name val="Trebuchet MS"/>
      <family val="2"/>
    </font>
    <font>
      <sz val="6"/>
      <color theme="1"/>
      <name val="Trebuchet MS"/>
      <family val="2"/>
    </font>
    <font>
      <sz val="5"/>
      <color theme="1"/>
      <name val="Trebuchet MS"/>
      <family val="2"/>
    </font>
    <font>
      <u/>
      <sz val="8"/>
      <color rgb="FF1155CC"/>
      <name val="Trebuchet MS"/>
      <family val="2"/>
    </font>
    <font>
      <strike/>
      <sz val="7"/>
      <color theme="1"/>
      <name val="Trebuchet MS"/>
      <family val="2"/>
    </font>
    <font>
      <sz val="10"/>
      <color theme="1"/>
      <name val="Trebuchet MS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C1DF87"/>
        <bgColor rgb="FFC1DF87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4" fillId="0" borderId="0" xfId="0" applyFont="1"/>
    <xf numFmtId="0" fontId="3" fillId="0" borderId="0" xfId="0" applyFont="1"/>
    <xf numFmtId="0" fontId="1" fillId="4" borderId="9" xfId="0" applyFont="1" applyFill="1" applyBorder="1"/>
    <xf numFmtId="0" fontId="1" fillId="5" borderId="9" xfId="0" applyFont="1" applyFill="1" applyBorder="1"/>
    <xf numFmtId="0" fontId="5" fillId="6" borderId="4" xfId="0" applyFont="1" applyFill="1" applyBorder="1" applyAlignment="1">
      <alignment horizontal="left"/>
    </xf>
    <xf numFmtId="0" fontId="5" fillId="6" borderId="5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/>
    </xf>
    <xf numFmtId="0" fontId="6" fillId="6" borderId="9" xfId="0" applyFont="1" applyFill="1" applyBorder="1" applyAlignment="1">
      <alignment horizontal="center" wrapText="1"/>
    </xf>
    <xf numFmtId="0" fontId="6" fillId="4" borderId="20" xfId="0" applyFont="1" applyFill="1" applyBorder="1" applyAlignment="1">
      <alignment horizontal="center" wrapText="1"/>
    </xf>
    <xf numFmtId="0" fontId="5" fillId="0" borderId="7" xfId="0" applyFont="1" applyBorder="1" applyAlignment="1">
      <alignment horizontal="left"/>
    </xf>
    <xf numFmtId="0" fontId="9" fillId="3" borderId="24" xfId="0" applyFont="1" applyFill="1" applyBorder="1"/>
    <xf numFmtId="0" fontId="4" fillId="3" borderId="25" xfId="0" applyFont="1" applyFill="1" applyBorder="1"/>
    <xf numFmtId="0" fontId="1" fillId="3" borderId="26" xfId="0" applyFont="1" applyFill="1" applyBorder="1"/>
    <xf numFmtId="0" fontId="5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1" fillId="0" borderId="22" xfId="0" applyFont="1" applyBorder="1"/>
    <xf numFmtId="0" fontId="7" fillId="0" borderId="0" xfId="0" applyFont="1" applyAlignment="1">
      <alignment horizontal="left"/>
    </xf>
    <xf numFmtId="0" fontId="12" fillId="0" borderId="0" xfId="0" applyFont="1"/>
    <xf numFmtId="0" fontId="6" fillId="6" borderId="9" xfId="0" applyFont="1" applyFill="1" applyBorder="1" applyAlignment="1">
      <alignment horizontal="center"/>
    </xf>
    <xf numFmtId="0" fontId="5" fillId="0" borderId="30" xfId="0" applyFont="1" applyBorder="1" applyAlignment="1">
      <alignment horizontal="left"/>
    </xf>
    <xf numFmtId="0" fontId="6" fillId="5" borderId="9" xfId="0" applyFont="1" applyFill="1" applyBorder="1" applyAlignment="1">
      <alignment horizontal="center"/>
    </xf>
    <xf numFmtId="2" fontId="6" fillId="5" borderId="9" xfId="0" applyNumberFormat="1" applyFont="1" applyFill="1" applyBorder="1" applyAlignment="1">
      <alignment horizontal="center"/>
    </xf>
    <xf numFmtId="0" fontId="4" fillId="3" borderId="31" xfId="0" applyFont="1" applyFill="1" applyBorder="1"/>
    <xf numFmtId="0" fontId="1" fillId="4" borderId="30" xfId="0" applyFont="1" applyFill="1" applyBorder="1" applyAlignment="1">
      <alignment horizontal="right"/>
    </xf>
    <xf numFmtId="164" fontId="1" fillId="4" borderId="30" xfId="0" applyNumberFormat="1" applyFont="1" applyFill="1" applyBorder="1" applyAlignment="1">
      <alignment horizontal="center"/>
    </xf>
    <xf numFmtId="164" fontId="1" fillId="5" borderId="30" xfId="0" applyNumberFormat="1" applyFont="1" applyFill="1" applyBorder="1" applyAlignment="1">
      <alignment horizontal="center"/>
    </xf>
    <xf numFmtId="0" fontId="14" fillId="0" borderId="0" xfId="0" applyFont="1"/>
    <xf numFmtId="0" fontId="1" fillId="4" borderId="32" xfId="0" applyFont="1" applyFill="1" applyBorder="1" applyAlignment="1">
      <alignment horizontal="right"/>
    </xf>
    <xf numFmtId="164" fontId="1" fillId="4" borderId="32" xfId="0" applyNumberFormat="1" applyFont="1" applyFill="1" applyBorder="1" applyAlignment="1">
      <alignment horizontal="center"/>
    </xf>
    <xf numFmtId="164" fontId="1" fillId="5" borderId="32" xfId="0" applyNumberFormat="1" applyFont="1" applyFill="1" applyBorder="1" applyAlignment="1">
      <alignment horizontal="center"/>
    </xf>
    <xf numFmtId="0" fontId="8" fillId="0" borderId="9" xfId="0" applyFont="1" applyBorder="1"/>
    <xf numFmtId="0" fontId="1" fillId="0" borderId="9" xfId="0" applyFont="1" applyBorder="1"/>
    <xf numFmtId="165" fontId="6" fillId="5" borderId="9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0" fillId="6" borderId="37" xfId="0" applyFont="1" applyFill="1" applyBorder="1"/>
    <xf numFmtId="166" fontId="4" fillId="6" borderId="38" xfId="0" applyNumberFormat="1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0" fontId="1" fillId="5" borderId="31" xfId="0" applyFont="1" applyFill="1" applyBorder="1"/>
    <xf numFmtId="0" fontId="5" fillId="6" borderId="31" xfId="0" applyFont="1" applyFill="1" applyBorder="1"/>
    <xf numFmtId="0" fontId="8" fillId="0" borderId="0" xfId="0" applyFont="1"/>
    <xf numFmtId="0" fontId="4" fillId="3" borderId="4" xfId="0" applyFont="1" applyFill="1" applyBorder="1"/>
    <xf numFmtId="0" fontId="8" fillId="5" borderId="39" xfId="0" applyFont="1" applyFill="1" applyBorder="1" applyAlignment="1">
      <alignment horizontal="center"/>
    </xf>
    <xf numFmtId="0" fontId="4" fillId="3" borderId="5" xfId="0" applyFont="1" applyFill="1" applyBorder="1"/>
    <xf numFmtId="0" fontId="8" fillId="5" borderId="40" xfId="0" applyFont="1" applyFill="1" applyBorder="1" applyAlignment="1">
      <alignment horizontal="center"/>
    </xf>
    <xf numFmtId="10" fontId="8" fillId="4" borderId="9" xfId="0" applyNumberFormat="1" applyFont="1" applyFill="1" applyBorder="1" applyAlignment="1">
      <alignment horizontal="center"/>
    </xf>
    <xf numFmtId="0" fontId="9" fillId="0" borderId="0" xfId="0" applyFont="1"/>
    <xf numFmtId="9" fontId="8" fillId="4" borderId="9" xfId="0" applyNumberFormat="1" applyFont="1" applyFill="1" applyBorder="1" applyAlignment="1">
      <alignment horizontal="center"/>
    </xf>
    <xf numFmtId="0" fontId="8" fillId="6" borderId="40" xfId="0" applyFont="1" applyFill="1" applyBorder="1" applyAlignment="1">
      <alignment horizontal="center"/>
    </xf>
    <xf numFmtId="0" fontId="18" fillId="0" borderId="0" xfId="0" applyFont="1"/>
    <xf numFmtId="9" fontId="8" fillId="6" borderId="40" xfId="0" applyNumberFormat="1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20" fillId="0" borderId="0" xfId="0" applyFont="1"/>
    <xf numFmtId="10" fontId="9" fillId="0" borderId="0" xfId="0" applyNumberFormat="1" applyFont="1"/>
    <xf numFmtId="10" fontId="8" fillId="5" borderId="9" xfId="0" applyNumberFormat="1" applyFont="1" applyFill="1" applyBorder="1" applyAlignment="1">
      <alignment horizontal="center"/>
    </xf>
    <xf numFmtId="0" fontId="1" fillId="3" borderId="5" xfId="0" applyFont="1" applyFill="1" applyBorder="1"/>
    <xf numFmtId="0" fontId="21" fillId="3" borderId="31" xfId="0" applyFont="1" applyFill="1" applyBorder="1" applyAlignment="1">
      <alignment horizontal="center" vertical="center"/>
    </xf>
    <xf numFmtId="0" fontId="21" fillId="3" borderId="31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6" fillId="5" borderId="41" xfId="0" applyFont="1" applyFill="1" applyBorder="1" applyAlignment="1">
      <alignment horizontal="center" vertical="center" wrapText="1"/>
    </xf>
    <xf numFmtId="0" fontId="15" fillId="5" borderId="41" xfId="0" applyFont="1" applyFill="1" applyBorder="1" applyAlignment="1">
      <alignment horizontal="center" vertical="center" wrapText="1"/>
    </xf>
    <xf numFmtId="2" fontId="6" fillId="5" borderId="41" xfId="0" applyNumberFormat="1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2" fontId="6" fillId="0" borderId="42" xfId="0" applyNumberFormat="1" applyFont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 wrapText="1"/>
    </xf>
    <xf numFmtId="0" fontId="6" fillId="5" borderId="43" xfId="0" applyFont="1" applyFill="1" applyBorder="1" applyAlignment="1">
      <alignment horizontal="center" vertical="center" wrapText="1"/>
    </xf>
    <xf numFmtId="2" fontId="6" fillId="5" borderId="43" xfId="0" applyNumberFormat="1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2" fontId="6" fillId="5" borderId="20" xfId="0" applyNumberFormat="1" applyFont="1" applyFill="1" applyBorder="1" applyAlignment="1">
      <alignment horizontal="center" vertical="center" wrapText="1"/>
    </xf>
    <xf numFmtId="2" fontId="8" fillId="5" borderId="44" xfId="0" applyNumberFormat="1" applyFont="1" applyFill="1" applyBorder="1"/>
    <xf numFmtId="9" fontId="1" fillId="0" borderId="0" xfId="0" applyNumberFormat="1" applyFont="1"/>
    <xf numFmtId="9" fontId="8" fillId="5" borderId="45" xfId="0" applyNumberFormat="1" applyFont="1" applyFill="1" applyBorder="1"/>
    <xf numFmtId="0" fontId="5" fillId="0" borderId="7" xfId="0" applyFont="1" applyBorder="1" applyAlignment="1">
      <alignment horizontal="left"/>
    </xf>
    <xf numFmtId="0" fontId="2" fillId="0" borderId="10" xfId="0" applyFont="1" applyBorder="1"/>
    <xf numFmtId="0" fontId="2" fillId="0" borderId="21" xfId="0" applyFont="1" applyBorder="1"/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3" borderId="1" xfId="0" applyFont="1" applyFill="1" applyBorder="1" applyAlignment="1">
      <alignment horizontal="left"/>
    </xf>
    <xf numFmtId="0" fontId="8" fillId="0" borderId="7" xfId="0" applyFont="1" applyBorder="1"/>
    <xf numFmtId="0" fontId="10" fillId="6" borderId="33" xfId="0" applyFont="1" applyFill="1" applyBorder="1" applyAlignment="1">
      <alignment horizontal="left" vertical="center" wrapText="1"/>
    </xf>
    <xf numFmtId="0" fontId="2" fillId="0" borderId="34" xfId="0" applyFont="1" applyBorder="1"/>
    <xf numFmtId="166" fontId="1" fillId="6" borderId="35" xfId="0" applyNumberFormat="1" applyFont="1" applyFill="1" applyBorder="1" applyAlignment="1">
      <alignment horizontal="left"/>
    </xf>
    <xf numFmtId="0" fontId="2" fillId="0" borderId="36" xfId="0" applyFont="1" applyBorder="1"/>
    <xf numFmtId="166" fontId="1" fillId="6" borderId="35" xfId="0" applyNumberFormat="1" applyFont="1" applyFill="1" applyBorder="1" applyAlignment="1">
      <alignment horizontal="center"/>
    </xf>
    <xf numFmtId="166" fontId="1" fillId="6" borderId="35" xfId="0" applyNumberFormat="1" applyFont="1" applyFill="1" applyBorder="1"/>
    <xf numFmtId="166" fontId="15" fillId="6" borderId="33" xfId="0" applyNumberFormat="1" applyFont="1" applyFill="1" applyBorder="1"/>
    <xf numFmtId="0" fontId="16" fillId="3" borderId="1" xfId="0" applyFont="1" applyFill="1" applyBorder="1" applyAlignment="1">
      <alignment horizontal="center"/>
    </xf>
    <xf numFmtId="0" fontId="10" fillId="6" borderId="3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8" xfId="0" applyFont="1" applyBorder="1"/>
    <xf numFmtId="0" fontId="3" fillId="3" borderId="1" xfId="0" applyFont="1" applyFill="1" applyBorder="1" applyAlignment="1">
      <alignment horizontal="center"/>
    </xf>
    <xf numFmtId="0" fontId="8" fillId="3" borderId="11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8" fillId="3" borderId="14" xfId="0" applyFont="1" applyFill="1" applyBorder="1"/>
    <xf numFmtId="0" fontId="2" fillId="0" borderId="15" xfId="0" applyFont="1" applyBorder="1"/>
    <xf numFmtId="0" fontId="2" fillId="0" borderId="16" xfId="0" applyFont="1" applyBorder="1"/>
    <xf numFmtId="0" fontId="5" fillId="0" borderId="17" xfId="0" applyFont="1" applyBorder="1" applyAlignment="1">
      <alignment horizontal="left"/>
    </xf>
    <xf numFmtId="0" fontId="2" fillId="0" borderId="18" xfId="0" applyFont="1" applyBorder="1"/>
    <xf numFmtId="0" fontId="2" fillId="0" borderId="19" xfId="0" applyFont="1" applyBorder="1"/>
    <xf numFmtId="0" fontId="10" fillId="0" borderId="22" xfId="0" applyFont="1" applyBorder="1"/>
    <xf numFmtId="0" fontId="0" fillId="0" borderId="0" xfId="0"/>
    <xf numFmtId="0" fontId="2" fillId="0" borderId="23" xfId="0" applyFont="1" applyBorder="1"/>
    <xf numFmtId="0" fontId="5" fillId="3" borderId="14" xfId="0" applyFont="1" applyFill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5" fillId="3" borderId="27" xfId="0" applyFont="1" applyFill="1" applyBorder="1" applyAlignment="1">
      <alignment horizontal="left"/>
    </xf>
    <xf numFmtId="0" fontId="4" fillId="0" borderId="22" xfId="0" applyFont="1" applyBorder="1"/>
    <xf numFmtId="0" fontId="5" fillId="3" borderId="28" xfId="0" applyFont="1" applyFill="1" applyBorder="1" applyAlignment="1">
      <alignment horizontal="left"/>
    </xf>
    <xf numFmtId="0" fontId="2" fillId="0" borderId="29" xfId="0" applyFont="1" applyBorder="1"/>
    <xf numFmtId="0" fontId="7" fillId="0" borderId="22" xfId="0" applyFont="1" applyBorder="1"/>
    <xf numFmtId="0" fontId="7" fillId="0" borderId="0" xfId="0" applyFont="1" applyAlignment="1">
      <alignment horizontal="left"/>
    </xf>
    <xf numFmtId="0" fontId="13" fillId="0" borderId="22" xfId="0" applyFont="1" applyBorder="1" applyAlignment="1">
      <alignment horizontal="left"/>
    </xf>
    <xf numFmtId="0" fontId="19" fillId="3" borderId="7" xfId="0" applyFont="1" applyFill="1" applyBorder="1"/>
    <xf numFmtId="0" fontId="4" fillId="3" borderId="7" xfId="0" applyFont="1" applyFill="1" applyBorder="1"/>
    <xf numFmtId="0" fontId="4" fillId="3" borderId="7" xfId="0" applyFont="1" applyFill="1" applyBorder="1" applyAlignment="1">
      <alignment horizontal="left"/>
    </xf>
    <xf numFmtId="0" fontId="6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25" fillId="7" borderId="46" xfId="0" applyFont="1" applyFill="1" applyBorder="1" applyAlignment="1">
      <alignment horizontal="center"/>
    </xf>
    <xf numFmtId="9" fontId="25" fillId="8" borderId="46" xfId="0" applyNumberFormat="1" applyFont="1" applyFill="1" applyBorder="1" applyAlignment="1">
      <alignment horizontal="center"/>
    </xf>
    <xf numFmtId="165" fontId="25" fillId="7" borderId="4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Yu Gothic"/>
              </a:defRPr>
            </a:pPr>
            <a:r>
              <a:rPr lang="pt-BR" sz="1400" b="0" i="0">
                <a:solidFill>
                  <a:srgbClr val="757575"/>
                </a:solidFill>
                <a:latin typeface="Yu Gothic"/>
              </a:rPr>
              <a:t>Payback simples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Fluxo Acumulado (R$)</c:v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Payback!$C$16:$C$46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Payback!$J$16:$J$46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03-4FF0-8133-58E8545F1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228144"/>
        <c:axId val="899299529"/>
      </c:barChart>
      <c:catAx>
        <c:axId val="68422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Yu Gothic"/>
                  </a:defRPr>
                </a:pPr>
                <a:r>
                  <a:rPr lang="pt-BR" sz="1000" b="0" i="0">
                    <a:solidFill>
                      <a:srgbClr val="000000"/>
                    </a:solidFill>
                    <a:latin typeface="Yu Gothic"/>
                  </a:rPr>
                  <a:t>Ano</a:t>
                </a:r>
              </a:p>
            </c:rich>
          </c:tx>
          <c:layout>
            <c:manualLayout>
              <c:xMode val="edge"/>
              <c:yMode val="edge"/>
              <c:x val="0.93638360288662825"/>
              <c:y val="0.1442221624735932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Yu Gothic"/>
              </a:defRPr>
            </a:pPr>
            <a:endParaRPr lang="pt-BR"/>
          </a:p>
        </c:txPr>
        <c:crossAx val="899299529"/>
        <c:crosses val="autoZero"/>
        <c:auto val="1"/>
        <c:lblAlgn val="ctr"/>
        <c:lblOffset val="100"/>
        <c:noMultiLvlLbl val="1"/>
      </c:catAx>
      <c:valAx>
        <c:axId val="899299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Yu Gothic"/>
              </a:defRPr>
            </a:pPr>
            <a:endParaRPr lang="pt-BR"/>
          </a:p>
        </c:txPr>
        <c:crossAx val="684228144"/>
        <c:crosses val="autoZero"/>
        <c:crossBetween val="between"/>
      </c:valAx>
    </c:plotArea>
    <c:legend>
      <c:legendPos val="b"/>
      <c:legendEntry>
        <c:idx val="0"/>
        <c:txPr>
          <a:bodyPr/>
          <a:lstStyle/>
          <a:p>
            <a:pPr lvl="0">
              <a:defRPr sz="1200" b="0" i="0">
                <a:latin typeface="Yu Gothic"/>
              </a:defRPr>
            </a:pPr>
            <a:endParaRPr lang="pt-BR"/>
          </a:p>
        </c:txPr>
      </c:legendEntry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Yu Gothic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Yu Gothic"/>
              </a:defRPr>
            </a:pPr>
            <a:r>
              <a:rPr lang="pt-BR" sz="1400" b="0" i="0">
                <a:solidFill>
                  <a:srgbClr val="757575"/>
                </a:solidFill>
                <a:latin typeface="Yu Gothic"/>
              </a:rPr>
              <a:t>Payback descontado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Fluxo Descontado Acumulado</c:v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Payback!$C$16:$C$46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Payback!$L$16:$L$46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01-4173-B721-3DB11BDF0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048650"/>
        <c:axId val="666242968"/>
      </c:barChart>
      <c:catAx>
        <c:axId val="123048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Yu Gothic"/>
                  </a:defRPr>
                </a:pPr>
                <a:r>
                  <a:rPr lang="pt-BR" sz="1000" b="0" i="0">
                    <a:solidFill>
                      <a:srgbClr val="000000"/>
                    </a:solidFill>
                    <a:latin typeface="Yu Gothic"/>
                  </a:rPr>
                  <a:t>Ano</a:t>
                </a:r>
              </a:p>
            </c:rich>
          </c:tx>
          <c:layout>
            <c:manualLayout>
              <c:xMode val="edge"/>
              <c:yMode val="edge"/>
              <c:x val="0.93997574717778187"/>
              <c:y val="0.1742697118491327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Yu Gothic"/>
              </a:defRPr>
            </a:pPr>
            <a:endParaRPr lang="pt-BR"/>
          </a:p>
        </c:txPr>
        <c:crossAx val="666242968"/>
        <c:crosses val="autoZero"/>
        <c:auto val="1"/>
        <c:lblAlgn val="ctr"/>
        <c:lblOffset val="100"/>
        <c:noMultiLvlLbl val="1"/>
      </c:catAx>
      <c:valAx>
        <c:axId val="666242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Yu Gothic"/>
              </a:defRPr>
            </a:pPr>
            <a:endParaRPr lang="pt-BR"/>
          </a:p>
        </c:txPr>
        <c:crossAx val="12304865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Yu Gothic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390525</xdr:colOff>
      <xdr:row>14</xdr:row>
      <xdr:rowOff>0</xdr:rowOff>
    </xdr:from>
    <xdr:ext cx="8705850" cy="6410325"/>
    <xdr:graphicFrame macro="">
      <xdr:nvGraphicFramePr>
        <xdr:cNvPr id="1594289311" name="Chart 1">
          <a:extLst>
            <a:ext uri="{FF2B5EF4-FFF2-40B4-BE49-F238E27FC236}">
              <a16:creationId xmlns:a16="http://schemas.microsoft.com/office/drawing/2014/main" id="{00000000-0008-0000-0100-00009FEC0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352425</xdr:colOff>
      <xdr:row>44</xdr:row>
      <xdr:rowOff>95250</xdr:rowOff>
    </xdr:from>
    <xdr:ext cx="8772525" cy="5819775"/>
    <xdr:graphicFrame macro="">
      <xdr:nvGraphicFramePr>
        <xdr:cNvPr id="1353103270" name="Chart 2">
          <a:extLst>
            <a:ext uri="{FF2B5EF4-FFF2-40B4-BE49-F238E27FC236}">
              <a16:creationId xmlns:a16="http://schemas.microsoft.com/office/drawing/2014/main" id="{00000000-0008-0000-0100-0000A6B7A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EE7B08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ortalsolar.com.br/" TargetMode="External"/><Relationship Id="rId2" Type="http://schemas.openxmlformats.org/officeDocument/2006/relationships/hyperlink" Target="https://institutosolar.com/como-calcular-o-valor-do-fio-b-para-energia-solar/" TargetMode="External"/><Relationship Id="rId1" Type="http://schemas.openxmlformats.org/officeDocument/2006/relationships/hyperlink" Target="https://portalrelatorios.aneel.gov.br/luznatarifa/basestarif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64" zoomScale="115" zoomScaleNormal="115" workbookViewId="0">
      <selection activeCell="G67" sqref="G67"/>
    </sheetView>
  </sheetViews>
  <sheetFormatPr defaultColWidth="12.6640625" defaultRowHeight="15" customHeight="1" x14ac:dyDescent="0.3"/>
  <cols>
    <col min="1" max="3" width="8.6640625" customWidth="1"/>
    <col min="4" max="4" width="16.109375" customWidth="1"/>
    <col min="5" max="5" width="11.6640625" customWidth="1"/>
    <col min="6" max="6" width="14.5546875" customWidth="1"/>
    <col min="7" max="7" width="14.21875" customWidth="1"/>
    <col min="8" max="8" width="13.109375" customWidth="1"/>
    <col min="9" max="26" width="8.6640625" customWidth="1"/>
  </cols>
  <sheetData>
    <row r="1" spans="1:26" ht="14.25" customHeight="1" x14ac:dyDescent="0.3">
      <c r="A1" s="101" t="s">
        <v>0</v>
      </c>
      <c r="B1" s="88"/>
      <c r="C1" s="88"/>
      <c r="D1" s="88"/>
      <c r="E1" s="8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4"/>
      <c r="J3" s="5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7" t="s">
        <v>2</v>
      </c>
      <c r="D5" s="1"/>
      <c r="E5" s="1"/>
      <c r="F5" s="1"/>
      <c r="G5" s="8" t="s">
        <v>3</v>
      </c>
      <c r="H5" s="102" t="s">
        <v>4</v>
      </c>
      <c r="I5" s="103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04" t="s">
        <v>5</v>
      </c>
      <c r="B6" s="88"/>
      <c r="C6" s="88"/>
      <c r="D6" s="88"/>
      <c r="E6" s="88"/>
      <c r="F6" s="89"/>
      <c r="G6" s="1"/>
      <c r="H6" s="102" t="s">
        <v>6</v>
      </c>
      <c r="I6" s="85"/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1" t="s">
        <v>7</v>
      </c>
      <c r="B7" s="12"/>
      <c r="C7" s="12"/>
      <c r="D7" s="12"/>
      <c r="E7" s="13" t="s">
        <v>175</v>
      </c>
      <c r="F7" s="14"/>
      <c r="G7" s="15" t="s">
        <v>8</v>
      </c>
      <c r="H7" s="16"/>
      <c r="I7" s="16"/>
      <c r="J7" s="16"/>
      <c r="K7" s="1"/>
      <c r="L7" s="105" t="s">
        <v>9</v>
      </c>
      <c r="M7" s="106"/>
      <c r="N7" s="10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1" t="s">
        <v>10</v>
      </c>
      <c r="B8" s="12"/>
      <c r="C8" s="12"/>
      <c r="D8" s="12"/>
      <c r="E8" s="17" t="s">
        <v>176</v>
      </c>
      <c r="F8" s="7"/>
      <c r="G8" s="1"/>
      <c r="H8" s="16"/>
      <c r="I8" s="16"/>
      <c r="J8" s="16"/>
      <c r="K8" s="1"/>
      <c r="L8" s="108" t="s">
        <v>11</v>
      </c>
      <c r="M8" s="109"/>
      <c r="N8" s="11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35">
      <c r="A9" s="111" t="s">
        <v>12</v>
      </c>
      <c r="B9" s="112"/>
      <c r="C9" s="112"/>
      <c r="D9" s="113"/>
      <c r="E9" s="18" t="s">
        <v>13</v>
      </c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84" t="s">
        <v>14</v>
      </c>
      <c r="B10" s="85"/>
      <c r="C10" s="85"/>
      <c r="D10" s="86"/>
      <c r="E10" s="13">
        <v>5</v>
      </c>
      <c r="F10" s="118" t="s">
        <v>15</v>
      </c>
      <c r="G10" s="116"/>
      <c r="H10" s="20" t="s">
        <v>16</v>
      </c>
      <c r="I10" s="21"/>
      <c r="J10" s="22"/>
      <c r="K10" s="119" t="s">
        <v>17</v>
      </c>
      <c r="L10" s="106"/>
      <c r="M10" s="10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84" t="s">
        <v>18</v>
      </c>
      <c r="B11" s="85"/>
      <c r="C11" s="85"/>
      <c r="D11" s="86"/>
      <c r="E11" s="13">
        <v>23</v>
      </c>
      <c r="F11" s="120" t="s">
        <v>19</v>
      </c>
      <c r="G11" s="115"/>
      <c r="H11" s="115"/>
      <c r="I11" s="115"/>
      <c r="J11" s="116"/>
      <c r="K11" s="121" t="s">
        <v>20</v>
      </c>
      <c r="L11" s="88"/>
      <c r="M11" s="12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84" t="s">
        <v>21</v>
      </c>
      <c r="B12" s="85"/>
      <c r="C12" s="85"/>
      <c r="D12" s="86"/>
      <c r="E12" s="13">
        <v>48</v>
      </c>
      <c r="F12" s="114" t="s">
        <v>22</v>
      </c>
      <c r="G12" s="115"/>
      <c r="H12" s="115"/>
      <c r="I12" s="115"/>
      <c r="J12" s="116"/>
      <c r="K12" s="117" t="s">
        <v>23</v>
      </c>
      <c r="L12" s="109"/>
      <c r="M12" s="11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84" t="s">
        <v>24</v>
      </c>
      <c r="B13" s="85"/>
      <c r="C13" s="85"/>
      <c r="D13" s="86"/>
      <c r="E13" s="13">
        <v>5.21</v>
      </c>
      <c r="F13" s="123" t="s">
        <v>25</v>
      </c>
      <c r="G13" s="115"/>
      <c r="H13" s="115"/>
      <c r="I13" s="115"/>
      <c r="J13" s="11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84" t="s">
        <v>26</v>
      </c>
      <c r="B14" s="85"/>
      <c r="C14" s="85"/>
      <c r="D14" s="86"/>
      <c r="E14" s="13"/>
      <c r="F14" s="7" t="s">
        <v>27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84" t="s">
        <v>28</v>
      </c>
      <c r="B15" s="85"/>
      <c r="C15" s="85"/>
      <c r="D15" s="86"/>
      <c r="E15" s="13"/>
      <c r="F15" s="7" t="s">
        <v>29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9" t="s">
        <v>30</v>
      </c>
      <c r="B16" s="23"/>
      <c r="C16" s="23"/>
      <c r="D16" s="23"/>
      <c r="E16" s="131"/>
      <c r="F16" s="24" t="s">
        <v>31</v>
      </c>
      <c r="G16" s="24"/>
      <c r="H16" s="24"/>
      <c r="I16" s="24"/>
      <c r="J16" s="2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9" t="s">
        <v>32</v>
      </c>
      <c r="B17" s="23"/>
      <c r="C17" s="23"/>
      <c r="D17" s="23"/>
      <c r="E17" s="131"/>
      <c r="F17" s="25" t="s">
        <v>33</v>
      </c>
      <c r="G17" s="15"/>
      <c r="H17" s="15"/>
      <c r="I17" s="15"/>
      <c r="J17" s="124" t="s">
        <v>34</v>
      </c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"/>
    </row>
    <row r="18" spans="1:26" ht="14.25" customHeight="1" x14ac:dyDescent="0.35">
      <c r="A18" s="19" t="s">
        <v>35</v>
      </c>
      <c r="B18" s="23"/>
      <c r="C18" s="23"/>
      <c r="D18" s="23"/>
      <c r="E18" s="131"/>
      <c r="F18" s="15" t="s">
        <v>36</v>
      </c>
      <c r="G18" s="15"/>
      <c r="H18" s="15"/>
      <c r="I18" s="15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1"/>
    </row>
    <row r="19" spans="1:26" ht="14.25" customHeight="1" x14ac:dyDescent="0.35">
      <c r="A19" s="19" t="s">
        <v>37</v>
      </c>
      <c r="B19" s="23"/>
      <c r="C19" s="23"/>
      <c r="D19" s="23"/>
      <c r="E19" s="131"/>
      <c r="F19" s="27"/>
      <c r="G19" s="15"/>
      <c r="H19" s="15"/>
      <c r="I19" s="15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1"/>
    </row>
    <row r="20" spans="1:26" ht="14.25" customHeight="1" x14ac:dyDescent="0.35">
      <c r="A20" s="19" t="s">
        <v>38</v>
      </c>
      <c r="B20" s="23"/>
      <c r="C20" s="23"/>
      <c r="D20" s="23"/>
      <c r="E20" s="131"/>
      <c r="F20" s="26"/>
      <c r="G20" s="24"/>
      <c r="H20" s="24"/>
      <c r="I20" s="24"/>
      <c r="J20" s="2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84" t="s">
        <v>39</v>
      </c>
      <c r="B21" s="85"/>
      <c r="C21" s="85"/>
      <c r="D21" s="86"/>
      <c r="E21" s="28"/>
      <c r="F21" s="125" t="s">
        <v>40</v>
      </c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5"/>
      <c r="S21" s="15"/>
      <c r="T21" s="15"/>
      <c r="U21" s="15"/>
      <c r="V21" s="15"/>
      <c r="W21" s="1"/>
      <c r="X21" s="1"/>
      <c r="Y21" s="1"/>
      <c r="Z21" s="1"/>
    </row>
    <row r="22" spans="1:26" ht="14.25" customHeight="1" x14ac:dyDescent="0.35">
      <c r="A22" s="84" t="s">
        <v>41</v>
      </c>
      <c r="B22" s="85"/>
      <c r="C22" s="85"/>
      <c r="D22" s="103"/>
      <c r="E22" s="132">
        <v>0.9</v>
      </c>
      <c r="F22" s="15" t="s">
        <v>42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84" t="s">
        <v>43</v>
      </c>
      <c r="B23" s="85"/>
      <c r="C23" s="85"/>
      <c r="D23" s="86"/>
      <c r="E23" s="131"/>
      <c r="F23" s="7" t="s">
        <v>44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84" t="s">
        <v>45</v>
      </c>
      <c r="B24" s="85"/>
      <c r="C24" s="85"/>
      <c r="D24" s="86"/>
      <c r="E24" s="131">
        <v>0.8</v>
      </c>
      <c r="F24" s="7" t="s">
        <v>46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84" t="s">
        <v>47</v>
      </c>
      <c r="B25" s="85"/>
      <c r="C25" s="85"/>
      <c r="D25" s="86"/>
      <c r="E25" s="131">
        <v>500</v>
      </c>
      <c r="F25" s="7" t="s">
        <v>48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84" t="s">
        <v>49</v>
      </c>
      <c r="B26" s="85"/>
      <c r="C26" s="85"/>
      <c r="D26" s="86"/>
      <c r="E26" s="131">
        <v>1.1499999999999999</v>
      </c>
      <c r="F26" s="7" t="s">
        <v>50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84" t="s">
        <v>51</v>
      </c>
      <c r="B27" s="85"/>
      <c r="C27" s="85"/>
      <c r="D27" s="86"/>
      <c r="E27" s="131">
        <v>49.6</v>
      </c>
      <c r="F27" s="7" t="s">
        <v>52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29" t="s">
        <v>53</v>
      </c>
      <c r="B28" s="29"/>
      <c r="C28" s="29"/>
      <c r="D28" s="19"/>
      <c r="E28" s="131">
        <v>-2.8999999999999998E-3</v>
      </c>
      <c r="F28" s="7" t="s">
        <v>54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84" t="s">
        <v>55</v>
      </c>
      <c r="B29" s="85"/>
      <c r="C29" s="85"/>
      <c r="D29" s="86"/>
      <c r="E29" s="131">
        <f>290/10</f>
        <v>29</v>
      </c>
      <c r="F29" s="7" t="s">
        <v>56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04" t="s">
        <v>57</v>
      </c>
      <c r="B31" s="88"/>
      <c r="C31" s="88"/>
      <c r="D31" s="88"/>
      <c r="E31" s="88"/>
      <c r="F31" s="8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84" t="s">
        <v>58</v>
      </c>
      <c r="B32" s="85"/>
      <c r="C32" s="85"/>
      <c r="D32" s="86"/>
      <c r="E32" s="30">
        <f>E23</f>
        <v>0</v>
      </c>
      <c r="F32" s="7" t="s">
        <v>59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84" t="s">
        <v>60</v>
      </c>
      <c r="B33" s="85"/>
      <c r="C33" s="85"/>
      <c r="D33" s="86"/>
      <c r="E33" s="30">
        <f>(E14+E15)</f>
        <v>0</v>
      </c>
      <c r="F33" s="7" t="s">
        <v>61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84" t="s">
        <v>62</v>
      </c>
      <c r="B34" s="85"/>
      <c r="C34" s="85"/>
      <c r="D34" s="86"/>
      <c r="E34" s="30">
        <f>$E$14+$E$15*(1-Payback!$E$13)</f>
        <v>0</v>
      </c>
      <c r="F34" s="7" t="s">
        <v>61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84" t="s">
        <v>63</v>
      </c>
      <c r="B35" s="85"/>
      <c r="C35" s="85"/>
      <c r="D35" s="85"/>
      <c r="E35" s="30">
        <f>E16+E17</f>
        <v>0</v>
      </c>
      <c r="F35" s="7" t="s">
        <v>61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84" t="s">
        <v>64</v>
      </c>
      <c r="B36" s="85"/>
      <c r="C36" s="85"/>
      <c r="D36" s="103"/>
      <c r="E36" s="30">
        <f>$E$19+$E$18*(1-Payback!$E$13)</f>
        <v>0</v>
      </c>
      <c r="F36" s="7" t="s">
        <v>65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29" t="s">
        <v>66</v>
      </c>
      <c r="B37" s="29"/>
      <c r="C37" s="29"/>
      <c r="D37" s="19"/>
      <c r="E37" s="30">
        <f>E42/1000</f>
        <v>0</v>
      </c>
      <c r="F37" s="7" t="s">
        <v>67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84" t="s">
        <v>68</v>
      </c>
      <c r="B38" s="85"/>
      <c r="C38" s="85"/>
      <c r="D38" s="86"/>
      <c r="E38" s="31">
        <f>E32*1000/(30*E24*E13)</f>
        <v>0</v>
      </c>
      <c r="F38" s="118" t="s">
        <v>69</v>
      </c>
      <c r="G38" s="115"/>
      <c r="H38" s="115"/>
      <c r="I38" s="115"/>
      <c r="J38" s="11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84" t="s">
        <v>70</v>
      </c>
      <c r="B39" s="85"/>
      <c r="C39" s="85"/>
      <c r="D39" s="86"/>
      <c r="E39" s="30">
        <f>ROUNDUP(E38/E25,0)</f>
        <v>0</v>
      </c>
      <c r="F39" s="7" t="s">
        <v>71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84" t="s">
        <v>72</v>
      </c>
      <c r="B40" s="85"/>
      <c r="C40" s="85"/>
      <c r="D40" s="86"/>
      <c r="E40" s="30">
        <f>ROUND(E39/E29,0)</f>
        <v>0</v>
      </c>
      <c r="F40" s="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84" t="s">
        <v>73</v>
      </c>
      <c r="B41" s="85"/>
      <c r="C41" s="85"/>
      <c r="D41" s="86"/>
      <c r="E41" s="30">
        <f>E39*E25</f>
        <v>0</v>
      </c>
      <c r="F41" s="7" t="s">
        <v>74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84" t="s">
        <v>75</v>
      </c>
      <c r="B42" s="85"/>
      <c r="C42" s="85"/>
      <c r="D42" s="86"/>
      <c r="E42" s="30">
        <f>E41/E26</f>
        <v>0</v>
      </c>
      <c r="F42" s="15" t="s">
        <v>76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84" t="s">
        <v>77</v>
      </c>
      <c r="B43" s="85"/>
      <c r="C43" s="85"/>
      <c r="D43" s="86"/>
      <c r="E43" s="30">
        <f>30*E13*E24*E42/1000</f>
        <v>0</v>
      </c>
      <c r="F43" s="7" t="s">
        <v>78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84" t="s">
        <v>79</v>
      </c>
      <c r="B44" s="85"/>
      <c r="C44" s="85"/>
      <c r="D44" s="86"/>
      <c r="E44" s="30">
        <f>E27*(1+(E10-25)*E28)*E40</f>
        <v>0</v>
      </c>
      <c r="F44" s="7" t="s">
        <v>80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84" t="s">
        <v>81</v>
      </c>
      <c r="B45" s="85"/>
      <c r="C45" s="85"/>
      <c r="D45" s="86"/>
      <c r="E45" s="30">
        <f>IF(E11&lt;10,10,IF(E11&lt;=20,E11,IF(E11&lt;=30,E11+5,IF(E11&lt;=40,E11+10,E11+15))))</f>
        <v>28</v>
      </c>
      <c r="F45" s="7" t="s">
        <v>82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87" t="s">
        <v>83</v>
      </c>
      <c r="B47" s="88"/>
      <c r="C47" s="88"/>
      <c r="D47" s="88"/>
      <c r="E47" s="88"/>
      <c r="F47" s="88"/>
      <c r="G47" s="8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90" t="s">
        <v>84</v>
      </c>
      <c r="B48" s="88"/>
      <c r="C48" s="88"/>
      <c r="D48" s="89"/>
      <c r="E48" s="32" t="s">
        <v>85</v>
      </c>
      <c r="F48" s="32" t="s">
        <v>86</v>
      </c>
      <c r="G48" s="32" t="s">
        <v>87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91" t="s">
        <v>88</v>
      </c>
      <c r="B49" s="85"/>
      <c r="C49" s="85"/>
      <c r="D49" s="86"/>
      <c r="E49" s="33">
        <v>10</v>
      </c>
      <c r="F49" s="34"/>
      <c r="G49" s="35">
        <f t="shared" ref="G49:G64" si="0">E49*F49</f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91" t="s">
        <v>89</v>
      </c>
      <c r="B50" s="85"/>
      <c r="C50" s="85"/>
      <c r="D50" s="86"/>
      <c r="E50" s="33">
        <v>1</v>
      </c>
      <c r="F50" s="34"/>
      <c r="G50" s="35">
        <f t="shared" si="0"/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91" t="s">
        <v>90</v>
      </c>
      <c r="B51" s="85"/>
      <c r="C51" s="85"/>
      <c r="D51" s="86"/>
      <c r="E51" s="33">
        <v>1</v>
      </c>
      <c r="F51" s="34"/>
      <c r="G51" s="35">
        <f t="shared" si="0"/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91" t="s">
        <v>91</v>
      </c>
      <c r="B52" s="85"/>
      <c r="C52" s="85"/>
      <c r="D52" s="86"/>
      <c r="E52" s="33"/>
      <c r="F52" s="34"/>
      <c r="G52" s="35">
        <f t="shared" si="0"/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91" t="s">
        <v>92</v>
      </c>
      <c r="B53" s="85"/>
      <c r="C53" s="85"/>
      <c r="D53" s="86"/>
      <c r="E53" s="33">
        <v>50</v>
      </c>
      <c r="F53" s="34"/>
      <c r="G53" s="35">
        <f t="shared" si="0"/>
        <v>0</v>
      </c>
      <c r="H53" s="7" t="s">
        <v>93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91" t="s">
        <v>92</v>
      </c>
      <c r="B54" s="85"/>
      <c r="C54" s="85"/>
      <c r="D54" s="86"/>
      <c r="E54" s="33">
        <v>50</v>
      </c>
      <c r="F54" s="34"/>
      <c r="G54" s="35">
        <f t="shared" si="0"/>
        <v>0</v>
      </c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91" t="s">
        <v>94</v>
      </c>
      <c r="B55" s="85"/>
      <c r="C55" s="85"/>
      <c r="D55" s="86"/>
      <c r="E55" s="33">
        <v>1</v>
      </c>
      <c r="F55" s="34"/>
      <c r="G55" s="35">
        <f t="shared" si="0"/>
        <v>0</v>
      </c>
      <c r="H55" s="36" t="s">
        <v>95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91" t="s">
        <v>96</v>
      </c>
      <c r="B56" s="85"/>
      <c r="C56" s="85"/>
      <c r="D56" s="86"/>
      <c r="E56" s="33"/>
      <c r="F56" s="34"/>
      <c r="G56" s="35">
        <f t="shared" si="0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91" t="s">
        <v>97</v>
      </c>
      <c r="B57" s="85"/>
      <c r="C57" s="85"/>
      <c r="D57" s="86"/>
      <c r="E57" s="33"/>
      <c r="F57" s="34"/>
      <c r="G57" s="35">
        <f t="shared" si="0"/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91" t="s">
        <v>98</v>
      </c>
      <c r="B58" s="85"/>
      <c r="C58" s="85"/>
      <c r="D58" s="86"/>
      <c r="E58" s="33"/>
      <c r="F58" s="34"/>
      <c r="G58" s="35">
        <f t="shared" si="0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91" t="s">
        <v>99</v>
      </c>
      <c r="B59" s="85"/>
      <c r="C59" s="85"/>
      <c r="D59" s="86"/>
      <c r="E59" s="33"/>
      <c r="F59" s="34"/>
      <c r="G59" s="35">
        <f t="shared" si="0"/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91" t="s">
        <v>100</v>
      </c>
      <c r="B60" s="85"/>
      <c r="C60" s="85"/>
      <c r="D60" s="86"/>
      <c r="E60" s="33"/>
      <c r="F60" s="34"/>
      <c r="G60" s="35">
        <f t="shared" si="0"/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91" t="s">
        <v>101</v>
      </c>
      <c r="B61" s="85"/>
      <c r="C61" s="85"/>
      <c r="D61" s="86"/>
      <c r="E61" s="33"/>
      <c r="F61" s="34"/>
      <c r="G61" s="35">
        <f t="shared" si="0"/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91" t="s">
        <v>102</v>
      </c>
      <c r="B62" s="85"/>
      <c r="C62" s="85"/>
      <c r="D62" s="86"/>
      <c r="E62" s="33"/>
      <c r="F62" s="34"/>
      <c r="G62" s="35">
        <f t="shared" si="0"/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91" t="s">
        <v>103</v>
      </c>
      <c r="B63" s="85"/>
      <c r="C63" s="85"/>
      <c r="D63" s="86"/>
      <c r="E63" s="33"/>
      <c r="F63" s="34"/>
      <c r="G63" s="35">
        <f t="shared" si="0"/>
        <v>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91" t="s">
        <v>104</v>
      </c>
      <c r="B64" s="85"/>
      <c r="C64" s="85"/>
      <c r="D64" s="86"/>
      <c r="E64" s="37"/>
      <c r="F64" s="38"/>
      <c r="G64" s="39">
        <f t="shared" si="0"/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1"/>
      <c r="B65" s="1"/>
      <c r="C65" s="1"/>
      <c r="D65" s="1"/>
      <c r="E65" s="40" t="s">
        <v>105</v>
      </c>
      <c r="F65" s="41"/>
      <c r="G65" s="42">
        <f>SUM(G49:G64)</f>
        <v>0</v>
      </c>
      <c r="H65" s="7" t="s">
        <v>106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1"/>
      <c r="B66" s="1"/>
      <c r="C66" s="1"/>
      <c r="D66" s="1"/>
      <c r="E66" s="40" t="s">
        <v>107</v>
      </c>
      <c r="F66" s="41"/>
      <c r="G66" s="133" t="s">
        <v>108</v>
      </c>
      <c r="H66" s="7" t="s">
        <v>109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"/>
      <c r="C67" s="1"/>
      <c r="D67" s="1"/>
      <c r="E67" s="40" t="s">
        <v>110</v>
      </c>
      <c r="F67" s="41"/>
      <c r="G67" s="13">
        <v>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00" t="s">
        <v>111</v>
      </c>
      <c r="F69" s="93"/>
      <c r="G69" s="96" t="str">
        <f>IF(G67=1,G65,G66)</f>
        <v>-</v>
      </c>
      <c r="H69" s="9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8.5" customHeight="1" x14ac:dyDescent="0.3">
      <c r="A70" s="43"/>
      <c r="B70" s="43"/>
      <c r="C70" s="43"/>
      <c r="D70" s="43"/>
      <c r="E70" s="92" t="s">
        <v>112</v>
      </c>
      <c r="F70" s="93"/>
      <c r="G70" s="94" t="e">
        <f>0.1*G69</f>
        <v>#VALUE!</v>
      </c>
      <c r="H70" s="95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4.25" customHeight="1" x14ac:dyDescent="0.3">
      <c r="A71" s="1"/>
      <c r="B71" s="1"/>
      <c r="C71" s="1"/>
      <c r="D71" s="1"/>
      <c r="E71" s="44" t="s">
        <v>113</v>
      </c>
      <c r="F71" s="45"/>
      <c r="G71" s="96">
        <v>7000</v>
      </c>
      <c r="H71" s="9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44" t="s">
        <v>114</v>
      </c>
      <c r="F72" s="45"/>
      <c r="G72" s="97">
        <v>5000</v>
      </c>
      <c r="H72" s="9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44" t="s">
        <v>115</v>
      </c>
      <c r="F73" s="45"/>
      <c r="G73" s="97">
        <v>0</v>
      </c>
      <c r="H73" s="9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44" t="s">
        <v>116</v>
      </c>
      <c r="F74" s="45"/>
      <c r="G74" s="97">
        <v>0</v>
      </c>
      <c r="H74" s="9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1" t="s">
        <v>117</v>
      </c>
      <c r="B75" s="1"/>
      <c r="C75" s="1"/>
      <c r="D75" s="1"/>
      <c r="E75" s="1"/>
      <c r="F75" s="46" t="s">
        <v>118</v>
      </c>
      <c r="G75" s="98" t="e">
        <f>SUM(G69:G72)</f>
        <v>#VALUE!</v>
      </c>
      <c r="H75" s="9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99" t="s">
        <v>119</v>
      </c>
      <c r="B76" s="88"/>
      <c r="C76" s="88"/>
      <c r="D76" s="88"/>
      <c r="E76" s="8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47" t="s">
        <v>120</v>
      </c>
      <c r="B77" s="1"/>
      <c r="C77" s="1"/>
      <c r="D77" s="48" t="e">
        <f>G75/E41</f>
        <v>#VALUE!</v>
      </c>
      <c r="E77" s="49" t="s">
        <v>121</v>
      </c>
      <c r="F77" s="47" t="s">
        <v>122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 t="s">
        <v>123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 t="s">
        <v>124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 t="s">
        <v>125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3">
    <mergeCell ref="A42:D42"/>
    <mergeCell ref="A43:D43"/>
    <mergeCell ref="A44:D44"/>
    <mergeCell ref="F38:J38"/>
    <mergeCell ref="A38:D38"/>
    <mergeCell ref="A39:D39"/>
    <mergeCell ref="A40:D40"/>
    <mergeCell ref="A41:D41"/>
    <mergeCell ref="A32:D32"/>
    <mergeCell ref="A33:D33"/>
    <mergeCell ref="A34:D34"/>
    <mergeCell ref="A35:D35"/>
    <mergeCell ref="A36:D36"/>
    <mergeCell ref="A25:D25"/>
    <mergeCell ref="A26:D26"/>
    <mergeCell ref="A27:D27"/>
    <mergeCell ref="A29:D29"/>
    <mergeCell ref="A31:F31"/>
    <mergeCell ref="A21:D21"/>
    <mergeCell ref="F21:Q21"/>
    <mergeCell ref="A22:D22"/>
    <mergeCell ref="A23:D23"/>
    <mergeCell ref="A24:D24"/>
    <mergeCell ref="A13:D13"/>
    <mergeCell ref="F13:J13"/>
    <mergeCell ref="A14:D14"/>
    <mergeCell ref="A15:D15"/>
    <mergeCell ref="J17:Y17"/>
    <mergeCell ref="L8:N8"/>
    <mergeCell ref="A9:D9"/>
    <mergeCell ref="F12:J12"/>
    <mergeCell ref="K12:M12"/>
    <mergeCell ref="A10:D10"/>
    <mergeCell ref="F10:G10"/>
    <mergeCell ref="K10:M10"/>
    <mergeCell ref="A11:D11"/>
    <mergeCell ref="F11:J11"/>
    <mergeCell ref="K11:M11"/>
    <mergeCell ref="A12:D12"/>
    <mergeCell ref="A1:E1"/>
    <mergeCell ref="H5:I5"/>
    <mergeCell ref="A6:F6"/>
    <mergeCell ref="H6:I6"/>
    <mergeCell ref="L7:N7"/>
    <mergeCell ref="G75:H75"/>
    <mergeCell ref="A76:E76"/>
    <mergeCell ref="A60:D60"/>
    <mergeCell ref="A61:D61"/>
    <mergeCell ref="A62:D62"/>
    <mergeCell ref="A63:D63"/>
    <mergeCell ref="A64:D64"/>
    <mergeCell ref="E69:F69"/>
    <mergeCell ref="G69:H69"/>
    <mergeCell ref="G70:H70"/>
    <mergeCell ref="G71:H71"/>
    <mergeCell ref="G72:H72"/>
    <mergeCell ref="G73:H73"/>
    <mergeCell ref="G74:H74"/>
    <mergeCell ref="A56:D56"/>
    <mergeCell ref="A57:D57"/>
    <mergeCell ref="A58:D58"/>
    <mergeCell ref="A59:D59"/>
    <mergeCell ref="E70:F70"/>
    <mergeCell ref="A51:D51"/>
    <mergeCell ref="A52:D52"/>
    <mergeCell ref="A53:D53"/>
    <mergeCell ref="A54:D54"/>
    <mergeCell ref="A55:D55"/>
    <mergeCell ref="A45:D45"/>
    <mergeCell ref="A47:G47"/>
    <mergeCell ref="A48:D48"/>
    <mergeCell ref="A49:D49"/>
    <mergeCell ref="A50:D50"/>
  </mergeCells>
  <hyperlinks>
    <hyperlink ref="F17" r:id="rId1" xr:uid="{00000000-0004-0000-0000-000000000000}"/>
    <hyperlink ref="F21" r:id="rId2" location=":~:text=Para%20se%20obter%20o%20valor,Tarifas%20%3E%3E%20Relat%C3%B3rios%20e%20Indicadores." xr:uid="{00000000-0004-0000-0000-000001000000}"/>
    <hyperlink ref="H55" r:id="rId3" xr:uid="{00000000-0004-0000-0000-000002000000}"/>
  </hyperlink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E6" sqref="E6"/>
    </sheetView>
  </sheetViews>
  <sheetFormatPr defaultColWidth="12.6640625" defaultRowHeight="15" customHeight="1" x14ac:dyDescent="0.3"/>
  <cols>
    <col min="1" max="14" width="11.6640625" customWidth="1"/>
    <col min="15" max="15" width="13.109375" customWidth="1"/>
    <col min="16" max="26" width="11.6640625" customWidth="1"/>
  </cols>
  <sheetData>
    <row r="1" spans="1:26" ht="20.25" customHeight="1" x14ac:dyDescent="0.3">
      <c r="A1" s="1"/>
      <c r="B1" s="130" t="s">
        <v>126</v>
      </c>
      <c r="C1" s="115"/>
      <c r="D1" s="11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02" t="s">
        <v>4</v>
      </c>
      <c r="H2" s="103"/>
      <c r="I2" s="9"/>
      <c r="J2" s="1"/>
      <c r="K2" s="1"/>
      <c r="L2" s="1"/>
      <c r="M2" s="1"/>
      <c r="N2" s="1"/>
      <c r="O2" s="50" t="s">
        <v>127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50" t="s">
        <v>128</v>
      </c>
      <c r="C3" s="1"/>
      <c r="D3" s="1"/>
      <c r="E3" s="50" t="s">
        <v>129</v>
      </c>
      <c r="F3" s="1"/>
      <c r="G3" s="102" t="s">
        <v>6</v>
      </c>
      <c r="H3" s="85"/>
      <c r="I3" s="10"/>
      <c r="J3" s="1"/>
      <c r="K3" s="1"/>
      <c r="L3" s="1"/>
      <c r="M3" s="1"/>
      <c r="N3" s="1"/>
      <c r="O3" s="51" t="s">
        <v>130</v>
      </c>
      <c r="P3" s="52">
        <f>IF(Dimensionamento!$E$7="A",Dimensionamento!$E$17,Dimensionamento!$E$15)</f>
        <v>0</v>
      </c>
      <c r="Q3" s="53" t="s">
        <v>131</v>
      </c>
      <c r="R3" s="54">
        <f>Dimensionamento!$E$19</f>
        <v>0</v>
      </c>
      <c r="S3" s="1"/>
      <c r="T3" s="1"/>
      <c r="U3" s="1"/>
      <c r="V3" s="1"/>
      <c r="W3" s="1"/>
      <c r="X3" s="1"/>
      <c r="Y3" s="1"/>
      <c r="Z3" s="1"/>
    </row>
    <row r="4" spans="1:26" ht="15" customHeight="1" x14ac:dyDescent="0.35">
      <c r="A4" s="1"/>
      <c r="B4" s="127" t="s">
        <v>132</v>
      </c>
      <c r="C4" s="85"/>
      <c r="D4" s="103"/>
      <c r="E4" s="55">
        <v>7.4999999999999997E-2</v>
      </c>
      <c r="F4" s="56" t="s">
        <v>133</v>
      </c>
      <c r="G4" s="1"/>
      <c r="H4" s="56" t="s">
        <v>134</v>
      </c>
      <c r="I4" s="1"/>
      <c r="J4" s="1"/>
      <c r="K4" s="1"/>
      <c r="L4" s="1"/>
      <c r="M4" s="1"/>
      <c r="N4" s="1"/>
      <c r="O4" s="51" t="s">
        <v>135</v>
      </c>
      <c r="P4" s="54">
        <f>IF(Dimensionamento!$E$7="A",Dimensionamento!$E$16,Dimensionamento!$E$14)</f>
        <v>0</v>
      </c>
      <c r="Q4" s="53" t="s">
        <v>136</v>
      </c>
      <c r="R4" s="54">
        <f>Dimensionamento!$E$18</f>
        <v>0</v>
      </c>
      <c r="S4" s="1"/>
      <c r="T4" s="1"/>
      <c r="U4" s="1"/>
      <c r="V4" s="1"/>
      <c r="W4" s="1"/>
      <c r="X4" s="1"/>
      <c r="Y4" s="1"/>
      <c r="Z4" s="1"/>
    </row>
    <row r="5" spans="1:26" ht="15" customHeight="1" x14ac:dyDescent="0.35">
      <c r="A5" s="1"/>
      <c r="B5" s="128" t="s">
        <v>137</v>
      </c>
      <c r="C5" s="85"/>
      <c r="D5" s="103"/>
      <c r="E5" s="57">
        <v>0.4</v>
      </c>
      <c r="F5" s="56" t="s">
        <v>138</v>
      </c>
      <c r="G5" s="1"/>
      <c r="H5" s="1"/>
      <c r="I5" s="1"/>
      <c r="J5" s="1"/>
      <c r="K5" s="1"/>
      <c r="L5" s="1"/>
      <c r="M5" s="1"/>
      <c r="N5" s="1"/>
      <c r="O5" s="51" t="s">
        <v>139</v>
      </c>
      <c r="P5" s="58">
        <f>Dimensionamento!E21</f>
        <v>0</v>
      </c>
      <c r="Q5" s="59" t="s">
        <v>140</v>
      </c>
      <c r="R5" s="59"/>
      <c r="S5" s="1"/>
      <c r="T5" s="1"/>
      <c r="U5" s="1"/>
      <c r="V5" s="1"/>
      <c r="W5" s="1"/>
      <c r="X5" s="1"/>
      <c r="Y5" s="1"/>
      <c r="Z5" s="1"/>
    </row>
    <row r="6" spans="1:26" x14ac:dyDescent="0.35">
      <c r="A6" s="1"/>
      <c r="B6" s="127" t="s">
        <v>141</v>
      </c>
      <c r="C6" s="85"/>
      <c r="D6" s="103"/>
      <c r="E6" s="57">
        <v>0.1</v>
      </c>
      <c r="F6" s="56" t="s">
        <v>133</v>
      </c>
      <c r="G6" s="1"/>
      <c r="H6" s="56" t="s">
        <v>142</v>
      </c>
      <c r="I6" s="1"/>
      <c r="J6" s="1"/>
      <c r="K6" s="1"/>
      <c r="L6" s="1"/>
      <c r="M6" s="1"/>
      <c r="N6" s="1"/>
      <c r="O6" s="51" t="s">
        <v>143</v>
      </c>
      <c r="P6" s="60">
        <f>Dimensionamento!$E$22</f>
        <v>0.9</v>
      </c>
      <c r="Q6" s="56" t="s">
        <v>144</v>
      </c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1"/>
      <c r="B7" s="126" t="s">
        <v>145</v>
      </c>
      <c r="C7" s="85"/>
      <c r="D7" s="103"/>
      <c r="E7" s="61">
        <v>15</v>
      </c>
      <c r="F7" s="56" t="s">
        <v>146</v>
      </c>
      <c r="G7" s="1"/>
      <c r="H7" s="56" t="s">
        <v>147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1"/>
      <c r="B8" s="126" t="s">
        <v>148</v>
      </c>
      <c r="C8" s="85"/>
      <c r="D8" s="103"/>
      <c r="E8" s="57">
        <v>0.01</v>
      </c>
      <c r="F8" s="62" t="s">
        <v>149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1"/>
      <c r="B9" s="127" t="s">
        <v>150</v>
      </c>
      <c r="C9" s="85"/>
      <c r="D9" s="103"/>
      <c r="E9" s="57">
        <v>0.7</v>
      </c>
      <c r="F9" s="63" t="s">
        <v>151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/>
      <c r="B10" s="127" t="s">
        <v>152</v>
      </c>
      <c r="C10" s="85"/>
      <c r="D10" s="103"/>
      <c r="E10" s="64">
        <v>0.02</v>
      </c>
      <c r="F10" s="56" t="s">
        <v>153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A11" s="1"/>
      <c r="B11" s="127" t="s">
        <v>154</v>
      </c>
      <c r="C11" s="85"/>
      <c r="D11" s="103"/>
      <c r="E11" s="64">
        <v>8.0000000000000002E-3</v>
      </c>
      <c r="F11" s="56" t="s">
        <v>155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5">
      <c r="A12" s="1"/>
      <c r="B12" s="51" t="s">
        <v>156</v>
      </c>
      <c r="C12" s="65"/>
      <c r="D12" s="65"/>
      <c r="E12" s="61">
        <v>2</v>
      </c>
      <c r="F12" s="56" t="s">
        <v>177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5">
      <c r="A13" s="1"/>
      <c r="B13" s="128" t="s">
        <v>157</v>
      </c>
      <c r="C13" s="85"/>
      <c r="D13" s="103"/>
      <c r="E13" s="57">
        <v>0.3</v>
      </c>
      <c r="F13" s="56" t="s">
        <v>158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66" t="s">
        <v>159</v>
      </c>
      <c r="K14" s="1"/>
      <c r="L14" s="67" t="s">
        <v>160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84.75" customHeight="1" x14ac:dyDescent="0.3">
      <c r="A15" s="1"/>
      <c r="B15" s="1"/>
      <c r="C15" s="68" t="s">
        <v>161</v>
      </c>
      <c r="D15" s="68" t="s">
        <v>162</v>
      </c>
      <c r="E15" s="68" t="s">
        <v>163</v>
      </c>
      <c r="F15" s="68" t="s">
        <v>164</v>
      </c>
      <c r="G15" s="68" t="s">
        <v>165</v>
      </c>
      <c r="H15" s="68" t="s">
        <v>166</v>
      </c>
      <c r="I15" s="68" t="s">
        <v>167</v>
      </c>
      <c r="J15" s="68" t="s">
        <v>168</v>
      </c>
      <c r="K15" s="68" t="s">
        <v>169</v>
      </c>
      <c r="L15" s="68" t="s">
        <v>170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3">
      <c r="A16" s="1"/>
      <c r="B16" s="1"/>
      <c r="C16" s="69">
        <v>0</v>
      </c>
      <c r="D16" s="70"/>
      <c r="E16" s="70"/>
      <c r="F16" s="70"/>
      <c r="G16" s="70"/>
      <c r="H16" s="70"/>
      <c r="I16" s="71" t="e">
        <f>-Dimensionamento!G75</f>
        <v>#VALUE!</v>
      </c>
      <c r="J16" s="71" t="e">
        <f>I16</f>
        <v>#VALUE!</v>
      </c>
      <c r="K16" s="71" t="e">
        <f>I16</f>
        <v>#VALUE!</v>
      </c>
      <c r="L16" s="71" t="e">
        <f>I16</f>
        <v>#VALUE!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3">
      <c r="A17" s="1"/>
      <c r="B17" s="1"/>
      <c r="C17" s="72">
        <v>1</v>
      </c>
      <c r="D17" s="73">
        <f>Dimensionamento!E43*12</f>
        <v>0</v>
      </c>
      <c r="E17" s="73">
        <f>P3+P4</f>
        <v>0</v>
      </c>
      <c r="F17" s="73">
        <f>IF(Dimensionamento!$E$7="A", IF($E$12=1, $R$3, IF($E$12=2, $R$3+$R$4*(1-$E$13), $R$3+$R$4)), IF($E$12=1, $P$3, IF($E$12=2, $P$3+$P$4*(1-$E$13), $P$3+$P$4)))</f>
        <v>0</v>
      </c>
      <c r="G17" s="74">
        <f t="shared" ref="G17:G46" si="0">(E17*$E$5+(1-$E$5)*F17)*D17</f>
        <v>0</v>
      </c>
      <c r="H17" s="74">
        <f t="shared" ref="H17:H46" si="1">IF(OR(C17=$E$7,C17=2*$E$7),G17*($E$8+$E$9),G17*$E$8)</f>
        <v>0</v>
      </c>
      <c r="I17" s="74">
        <f>G17-H17- IF(Dimensionamento!$E$7="A", Dimensionamento!$E$37*Dimensionamento!$E$20*12, 0)</f>
        <v>0</v>
      </c>
      <c r="J17" s="74" t="e">
        <f t="shared" ref="J17:J46" si="2">J16+I17</f>
        <v>#VALUE!</v>
      </c>
      <c r="K17" s="74">
        <f t="shared" ref="K17:K46" si="3">I17/(1+$E$6)^C17</f>
        <v>0</v>
      </c>
      <c r="L17" s="74" t="e">
        <f t="shared" ref="L17:L46" si="4">L16+K17</f>
        <v>#VALUE!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3">
      <c r="A18" s="1"/>
      <c r="B18" s="1"/>
      <c r="C18" s="75">
        <v>2</v>
      </c>
      <c r="D18" s="76">
        <f>Dimensionamento!$E$43*12*(1-$E$10)</f>
        <v>0</v>
      </c>
      <c r="E18" s="76">
        <f t="shared" ref="E18:F18" si="5">E17*(1+$E$4)</f>
        <v>0</v>
      </c>
      <c r="F18" s="76">
        <f t="shared" si="5"/>
        <v>0</v>
      </c>
      <c r="G18" s="77">
        <f t="shared" si="0"/>
        <v>0</v>
      </c>
      <c r="H18" s="77">
        <f t="shared" si="1"/>
        <v>0</v>
      </c>
      <c r="I18" s="77">
        <f>G18-H18- IF(Dimensionamento!$E$7="A", Dimensionamento!$E$37*Dimensionamento!$E$20*12, 0)</f>
        <v>0</v>
      </c>
      <c r="J18" s="77" t="e">
        <f t="shared" si="2"/>
        <v>#VALUE!</v>
      </c>
      <c r="K18" s="77">
        <f t="shared" si="3"/>
        <v>0</v>
      </c>
      <c r="L18" s="77" t="e">
        <f t="shared" si="4"/>
        <v>#VALUE!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3">
      <c r="A19" s="1"/>
      <c r="B19" s="1"/>
      <c r="C19" s="72">
        <v>3</v>
      </c>
      <c r="D19" s="73">
        <f>Dimensionamento!$E$43*12*(1-$E$10-(C19-2)*$E$11)</f>
        <v>0</v>
      </c>
      <c r="E19" s="73">
        <f t="shared" ref="E19:F19" si="6">E18*(1+$E$4)</f>
        <v>0</v>
      </c>
      <c r="F19" s="73">
        <f t="shared" si="6"/>
        <v>0</v>
      </c>
      <c r="G19" s="74">
        <f t="shared" si="0"/>
        <v>0</v>
      </c>
      <c r="H19" s="74">
        <f t="shared" si="1"/>
        <v>0</v>
      </c>
      <c r="I19" s="74">
        <f>G19-H19- IF(Dimensionamento!$E$7="A", Dimensionamento!$E$37*Dimensionamento!$E$20*12, 0)</f>
        <v>0</v>
      </c>
      <c r="J19" s="74" t="e">
        <f t="shared" si="2"/>
        <v>#VALUE!</v>
      </c>
      <c r="K19" s="74">
        <f t="shared" si="3"/>
        <v>0</v>
      </c>
      <c r="L19" s="74" t="e">
        <f t="shared" si="4"/>
        <v>#VALUE!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3">
      <c r="A20" s="1"/>
      <c r="B20" s="1"/>
      <c r="C20" s="75">
        <v>4</v>
      </c>
      <c r="D20" s="76">
        <f>Dimensionamento!$E$43*12*(1-$E$10-(C20-2)*$E$11)</f>
        <v>0</v>
      </c>
      <c r="E20" s="76">
        <f t="shared" ref="E20:F20" si="7">E19*(1+$E$4)</f>
        <v>0</v>
      </c>
      <c r="F20" s="76">
        <f t="shared" si="7"/>
        <v>0</v>
      </c>
      <c r="G20" s="77">
        <f t="shared" si="0"/>
        <v>0</v>
      </c>
      <c r="H20" s="77">
        <f t="shared" si="1"/>
        <v>0</v>
      </c>
      <c r="I20" s="77">
        <f>G20-H20- IF(Dimensionamento!$E$7="A", Dimensionamento!$E$37*Dimensionamento!$E$20*12, 0)</f>
        <v>0</v>
      </c>
      <c r="J20" s="77" t="e">
        <f t="shared" si="2"/>
        <v>#VALUE!</v>
      </c>
      <c r="K20" s="77">
        <f t="shared" si="3"/>
        <v>0</v>
      </c>
      <c r="L20" s="77" t="e">
        <f t="shared" si="4"/>
        <v>#VALUE!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3">
      <c r="A21" s="1"/>
      <c r="B21" s="1"/>
      <c r="C21" s="72">
        <v>5</v>
      </c>
      <c r="D21" s="73">
        <f>Dimensionamento!$E$43*12*(1-$E$10-(C21-2)*$E$11)</f>
        <v>0</v>
      </c>
      <c r="E21" s="73">
        <f t="shared" ref="E21:F21" si="8">E20*(1+$E$4)</f>
        <v>0</v>
      </c>
      <c r="F21" s="73">
        <f t="shared" si="8"/>
        <v>0</v>
      </c>
      <c r="G21" s="74">
        <f t="shared" si="0"/>
        <v>0</v>
      </c>
      <c r="H21" s="74">
        <f t="shared" si="1"/>
        <v>0</v>
      </c>
      <c r="I21" s="74">
        <f>G21-H21- IF(Dimensionamento!$E$7="A", Dimensionamento!$E$37*Dimensionamento!$E$20*12, 0)</f>
        <v>0</v>
      </c>
      <c r="J21" s="74" t="e">
        <f t="shared" si="2"/>
        <v>#VALUE!</v>
      </c>
      <c r="K21" s="74">
        <f t="shared" si="3"/>
        <v>0</v>
      </c>
      <c r="L21" s="74" t="e">
        <f t="shared" si="4"/>
        <v>#VALUE!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3">
      <c r="A22" s="1"/>
      <c r="B22" s="1"/>
      <c r="C22" s="75">
        <v>6</v>
      </c>
      <c r="D22" s="76">
        <f>Dimensionamento!$E$43*12*(1-$E$10-(C22-2)*$E$11)</f>
        <v>0</v>
      </c>
      <c r="E22" s="76">
        <f t="shared" ref="E22:F22" si="9">E21*(1+$E$4)</f>
        <v>0</v>
      </c>
      <c r="F22" s="76">
        <f t="shared" si="9"/>
        <v>0</v>
      </c>
      <c r="G22" s="77">
        <f t="shared" si="0"/>
        <v>0</v>
      </c>
      <c r="H22" s="77">
        <f t="shared" si="1"/>
        <v>0</v>
      </c>
      <c r="I22" s="77">
        <f>G22-H22- IF(Dimensionamento!$E$7="A", Dimensionamento!$E$37*Dimensionamento!$E$20*12, 0)</f>
        <v>0</v>
      </c>
      <c r="J22" s="77" t="e">
        <f t="shared" si="2"/>
        <v>#VALUE!</v>
      </c>
      <c r="K22" s="77">
        <f t="shared" si="3"/>
        <v>0</v>
      </c>
      <c r="L22" s="77" t="e">
        <f t="shared" si="4"/>
        <v>#VALUE!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3">
      <c r="A23" s="1"/>
      <c r="B23" s="1"/>
      <c r="C23" s="72">
        <v>7</v>
      </c>
      <c r="D23" s="73">
        <f>Dimensionamento!$E$43*12*(1-$E$10-(C23-2)*$E$11)</f>
        <v>0</v>
      </c>
      <c r="E23" s="73">
        <f t="shared" ref="E23:F23" si="10">E22*(1+$E$4)</f>
        <v>0</v>
      </c>
      <c r="F23" s="73">
        <f t="shared" si="10"/>
        <v>0</v>
      </c>
      <c r="G23" s="74">
        <f t="shared" si="0"/>
        <v>0</v>
      </c>
      <c r="H23" s="74">
        <f t="shared" si="1"/>
        <v>0</v>
      </c>
      <c r="I23" s="74">
        <f>G23-H23- IF(Dimensionamento!$E$7="A", Dimensionamento!$E$37*Dimensionamento!$E$20*12, 0)</f>
        <v>0</v>
      </c>
      <c r="J23" s="74" t="e">
        <f t="shared" si="2"/>
        <v>#VALUE!</v>
      </c>
      <c r="K23" s="74">
        <f t="shared" si="3"/>
        <v>0</v>
      </c>
      <c r="L23" s="74" t="e">
        <f t="shared" si="4"/>
        <v>#VALUE!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3">
      <c r="A24" s="1"/>
      <c r="B24" s="1"/>
      <c r="C24" s="75">
        <v>8</v>
      </c>
      <c r="D24" s="76">
        <f>Dimensionamento!$E$43*12*(1-$E$10-(C24-2)*$E$11)</f>
        <v>0</v>
      </c>
      <c r="E24" s="76">
        <f t="shared" ref="E24:F24" si="11">E23*(1+$E$4)</f>
        <v>0</v>
      </c>
      <c r="F24" s="76">
        <f t="shared" si="11"/>
        <v>0</v>
      </c>
      <c r="G24" s="77">
        <f t="shared" si="0"/>
        <v>0</v>
      </c>
      <c r="H24" s="77">
        <f t="shared" si="1"/>
        <v>0</v>
      </c>
      <c r="I24" s="77">
        <f>G24-H24- IF(Dimensionamento!$E$7="A", Dimensionamento!$E$37*Dimensionamento!$E$20*12, 0)</f>
        <v>0</v>
      </c>
      <c r="J24" s="77" t="e">
        <f t="shared" si="2"/>
        <v>#VALUE!</v>
      </c>
      <c r="K24" s="77">
        <f t="shared" si="3"/>
        <v>0</v>
      </c>
      <c r="L24" s="77" t="e">
        <f t="shared" si="4"/>
        <v>#VALUE!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3">
      <c r="A25" s="1"/>
      <c r="B25" s="1"/>
      <c r="C25" s="72">
        <v>9</v>
      </c>
      <c r="D25" s="73">
        <f>Dimensionamento!$E$43*12*(1-$E$10-(C25-2)*$E$11)</f>
        <v>0</v>
      </c>
      <c r="E25" s="73">
        <f t="shared" ref="E25:F25" si="12">E24*(1+$E$4)</f>
        <v>0</v>
      </c>
      <c r="F25" s="73">
        <f t="shared" si="12"/>
        <v>0</v>
      </c>
      <c r="G25" s="74">
        <f t="shared" si="0"/>
        <v>0</v>
      </c>
      <c r="H25" s="74">
        <f t="shared" si="1"/>
        <v>0</v>
      </c>
      <c r="I25" s="74">
        <f>G25-H25- IF(Dimensionamento!$E$7="A", Dimensionamento!$E$37*Dimensionamento!$E$20*12, 0)</f>
        <v>0</v>
      </c>
      <c r="J25" s="74" t="e">
        <f t="shared" si="2"/>
        <v>#VALUE!</v>
      </c>
      <c r="K25" s="74">
        <f t="shared" si="3"/>
        <v>0</v>
      </c>
      <c r="L25" s="74" t="e">
        <f t="shared" si="4"/>
        <v>#VALUE!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3">
      <c r="A26" s="1"/>
      <c r="B26" s="1"/>
      <c r="C26" s="75">
        <v>10</v>
      </c>
      <c r="D26" s="76">
        <f>Dimensionamento!$E$43*12*(1-$E$10-(C26-2)*$E$11)</f>
        <v>0</v>
      </c>
      <c r="E26" s="76">
        <f t="shared" ref="E26:F26" si="13">E25*(1+$E$4)</f>
        <v>0</v>
      </c>
      <c r="F26" s="76">
        <f t="shared" si="13"/>
        <v>0</v>
      </c>
      <c r="G26" s="77">
        <f t="shared" si="0"/>
        <v>0</v>
      </c>
      <c r="H26" s="77">
        <f t="shared" si="1"/>
        <v>0</v>
      </c>
      <c r="I26" s="77">
        <f>G26-H26- IF(Dimensionamento!$E$7="A", Dimensionamento!$E$37*Dimensionamento!$E$20*12, 0)</f>
        <v>0</v>
      </c>
      <c r="J26" s="77" t="e">
        <f t="shared" si="2"/>
        <v>#VALUE!</v>
      </c>
      <c r="K26" s="77">
        <f t="shared" si="3"/>
        <v>0</v>
      </c>
      <c r="L26" s="77" t="e">
        <f t="shared" si="4"/>
        <v>#VALUE!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3">
      <c r="A27" s="1"/>
      <c r="B27" s="1"/>
      <c r="C27" s="72">
        <v>11</v>
      </c>
      <c r="D27" s="73">
        <f>Dimensionamento!$E$43*12*(1-$E$10-(C27-2)*$E$11)</f>
        <v>0</v>
      </c>
      <c r="E27" s="73">
        <f t="shared" ref="E27:F27" si="14">E26*(1+$E$4)</f>
        <v>0</v>
      </c>
      <c r="F27" s="73">
        <f t="shared" si="14"/>
        <v>0</v>
      </c>
      <c r="G27" s="74">
        <f t="shared" si="0"/>
        <v>0</v>
      </c>
      <c r="H27" s="74">
        <f t="shared" si="1"/>
        <v>0</v>
      </c>
      <c r="I27" s="74">
        <f>G27-H27- IF(Dimensionamento!$E$7="A", Dimensionamento!$E$37*Dimensionamento!$E$20*12, 0)</f>
        <v>0</v>
      </c>
      <c r="J27" s="74" t="e">
        <f t="shared" si="2"/>
        <v>#VALUE!</v>
      </c>
      <c r="K27" s="74">
        <f t="shared" si="3"/>
        <v>0</v>
      </c>
      <c r="L27" s="74" t="e">
        <f t="shared" si="4"/>
        <v>#VALUE!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3">
      <c r="A28" s="1"/>
      <c r="B28" s="1"/>
      <c r="C28" s="75">
        <v>12</v>
      </c>
      <c r="D28" s="76">
        <f>Dimensionamento!$E$43*12*(1-$E$10-(C28-2)*$E$11)</f>
        <v>0</v>
      </c>
      <c r="E28" s="76">
        <f t="shared" ref="E28:F28" si="15">E27*(1+$E$4)</f>
        <v>0</v>
      </c>
      <c r="F28" s="76">
        <f t="shared" si="15"/>
        <v>0</v>
      </c>
      <c r="G28" s="77">
        <f t="shared" si="0"/>
        <v>0</v>
      </c>
      <c r="H28" s="77">
        <f t="shared" si="1"/>
        <v>0</v>
      </c>
      <c r="I28" s="77">
        <f>G28-H28- IF(Dimensionamento!$E$7="A", Dimensionamento!$E$37*Dimensionamento!$E$20*12, 0)</f>
        <v>0</v>
      </c>
      <c r="J28" s="77" t="e">
        <f t="shared" si="2"/>
        <v>#VALUE!</v>
      </c>
      <c r="K28" s="77">
        <f t="shared" si="3"/>
        <v>0</v>
      </c>
      <c r="L28" s="77" t="e">
        <f t="shared" si="4"/>
        <v>#VALUE!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3">
      <c r="A29" s="1"/>
      <c r="B29" s="1"/>
      <c r="C29" s="72">
        <v>13</v>
      </c>
      <c r="D29" s="73">
        <f>Dimensionamento!$E$43*12*(1-$E$10-(C29-2)*$E$11)</f>
        <v>0</v>
      </c>
      <c r="E29" s="73">
        <f t="shared" ref="E29:F29" si="16">E28*(1+$E$4)</f>
        <v>0</v>
      </c>
      <c r="F29" s="73">
        <f t="shared" si="16"/>
        <v>0</v>
      </c>
      <c r="G29" s="74">
        <f t="shared" si="0"/>
        <v>0</v>
      </c>
      <c r="H29" s="74">
        <f t="shared" si="1"/>
        <v>0</v>
      </c>
      <c r="I29" s="74">
        <f>G29-H29- IF(Dimensionamento!$E$7="A", Dimensionamento!$E$37*Dimensionamento!$E$20*12, 0)</f>
        <v>0</v>
      </c>
      <c r="J29" s="74" t="e">
        <f t="shared" si="2"/>
        <v>#VALUE!</v>
      </c>
      <c r="K29" s="74">
        <f t="shared" si="3"/>
        <v>0</v>
      </c>
      <c r="L29" s="74" t="e">
        <f t="shared" si="4"/>
        <v>#VALUE!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3">
      <c r="A30" s="1"/>
      <c r="B30" s="1"/>
      <c r="C30" s="75">
        <v>14</v>
      </c>
      <c r="D30" s="76">
        <f>Dimensionamento!$E$43*12*(1-$E$10-(C30-2)*$E$11)</f>
        <v>0</v>
      </c>
      <c r="E30" s="76">
        <f t="shared" ref="E30:F30" si="17">E29*(1+$E$4)</f>
        <v>0</v>
      </c>
      <c r="F30" s="76">
        <f t="shared" si="17"/>
        <v>0</v>
      </c>
      <c r="G30" s="77">
        <f t="shared" si="0"/>
        <v>0</v>
      </c>
      <c r="H30" s="77">
        <f t="shared" si="1"/>
        <v>0</v>
      </c>
      <c r="I30" s="77">
        <f>G30-H30- IF(Dimensionamento!$E$7="A", Dimensionamento!$E$37*Dimensionamento!$E$20*12, 0)</f>
        <v>0</v>
      </c>
      <c r="J30" s="77" t="e">
        <f t="shared" si="2"/>
        <v>#VALUE!</v>
      </c>
      <c r="K30" s="77">
        <f t="shared" si="3"/>
        <v>0</v>
      </c>
      <c r="L30" s="77" t="e">
        <f t="shared" si="4"/>
        <v>#VALUE!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3">
      <c r="A31" s="1"/>
      <c r="B31" s="1"/>
      <c r="C31" s="72">
        <v>15</v>
      </c>
      <c r="D31" s="73">
        <f>Dimensionamento!$E$43*12*(1-$E$10-(C31-2)*$E$11)</f>
        <v>0</v>
      </c>
      <c r="E31" s="73">
        <f t="shared" ref="E31:F31" si="18">E30*(1+$E$4)</f>
        <v>0</v>
      </c>
      <c r="F31" s="73">
        <f t="shared" si="18"/>
        <v>0</v>
      </c>
      <c r="G31" s="74">
        <f t="shared" si="0"/>
        <v>0</v>
      </c>
      <c r="H31" s="74">
        <f t="shared" si="1"/>
        <v>0</v>
      </c>
      <c r="I31" s="74">
        <f>G31-H31- IF(Dimensionamento!$E$7="A", Dimensionamento!$E$37*Dimensionamento!$E$20*12, 0)</f>
        <v>0</v>
      </c>
      <c r="J31" s="74" t="e">
        <f t="shared" si="2"/>
        <v>#VALUE!</v>
      </c>
      <c r="K31" s="74">
        <f t="shared" si="3"/>
        <v>0</v>
      </c>
      <c r="L31" s="74" t="e">
        <f t="shared" si="4"/>
        <v>#VALUE!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3">
      <c r="A32" s="1"/>
      <c r="B32" s="1"/>
      <c r="C32" s="75">
        <v>16</v>
      </c>
      <c r="D32" s="76">
        <f>Dimensionamento!$E$43*12*(1-$E$10-(C32-2)*$E$11)</f>
        <v>0</v>
      </c>
      <c r="E32" s="76">
        <f t="shared" ref="E32:F32" si="19">E31*(1+$E$4)</f>
        <v>0</v>
      </c>
      <c r="F32" s="76">
        <f t="shared" si="19"/>
        <v>0</v>
      </c>
      <c r="G32" s="77">
        <f t="shared" si="0"/>
        <v>0</v>
      </c>
      <c r="H32" s="77">
        <f t="shared" si="1"/>
        <v>0</v>
      </c>
      <c r="I32" s="77">
        <f>G32-H32- IF(Dimensionamento!$E$7="A", Dimensionamento!$E$37*Dimensionamento!$E$20*12, 0)</f>
        <v>0</v>
      </c>
      <c r="J32" s="77" t="e">
        <f t="shared" si="2"/>
        <v>#VALUE!</v>
      </c>
      <c r="K32" s="77">
        <f t="shared" si="3"/>
        <v>0</v>
      </c>
      <c r="L32" s="77" t="e">
        <f t="shared" si="4"/>
        <v>#VALUE!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3">
      <c r="A33" s="1"/>
      <c r="B33" s="1"/>
      <c r="C33" s="72">
        <v>17</v>
      </c>
      <c r="D33" s="73">
        <f>Dimensionamento!$E$43*12*(1-$E$10-(C33-2)*$E$11)</f>
        <v>0</v>
      </c>
      <c r="E33" s="73">
        <f t="shared" ref="E33:F33" si="20">E32*(1+$E$4)</f>
        <v>0</v>
      </c>
      <c r="F33" s="73">
        <f t="shared" si="20"/>
        <v>0</v>
      </c>
      <c r="G33" s="74">
        <f t="shared" si="0"/>
        <v>0</v>
      </c>
      <c r="H33" s="74">
        <f t="shared" si="1"/>
        <v>0</v>
      </c>
      <c r="I33" s="74">
        <f>G33-H33- IF(Dimensionamento!$E$7="A", Dimensionamento!$E$37*Dimensionamento!$E$20*12, 0)</f>
        <v>0</v>
      </c>
      <c r="J33" s="74" t="e">
        <f t="shared" si="2"/>
        <v>#VALUE!</v>
      </c>
      <c r="K33" s="74">
        <f t="shared" si="3"/>
        <v>0</v>
      </c>
      <c r="L33" s="74" t="e">
        <f t="shared" si="4"/>
        <v>#VALUE!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3">
      <c r="A34" s="1"/>
      <c r="B34" s="1"/>
      <c r="C34" s="75">
        <v>18</v>
      </c>
      <c r="D34" s="76">
        <f>Dimensionamento!$E$43*12*(1-$E$10-(C34-2)*$E$11)</f>
        <v>0</v>
      </c>
      <c r="E34" s="76">
        <f t="shared" ref="E34:F34" si="21">E33*(1+$E$4)</f>
        <v>0</v>
      </c>
      <c r="F34" s="76">
        <f t="shared" si="21"/>
        <v>0</v>
      </c>
      <c r="G34" s="77">
        <f t="shared" si="0"/>
        <v>0</v>
      </c>
      <c r="H34" s="77">
        <f t="shared" si="1"/>
        <v>0</v>
      </c>
      <c r="I34" s="77">
        <f>G34-H34- IF(Dimensionamento!$E$7="A", Dimensionamento!$E$37*Dimensionamento!$E$20*12, 0)</f>
        <v>0</v>
      </c>
      <c r="J34" s="77" t="e">
        <f t="shared" si="2"/>
        <v>#VALUE!</v>
      </c>
      <c r="K34" s="77">
        <f t="shared" si="3"/>
        <v>0</v>
      </c>
      <c r="L34" s="77" t="e">
        <f t="shared" si="4"/>
        <v>#VALUE!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3">
      <c r="A35" s="1"/>
      <c r="B35" s="1"/>
      <c r="C35" s="72">
        <v>19</v>
      </c>
      <c r="D35" s="73">
        <f>Dimensionamento!$E$43*12*(1-$E$10-(C35-2)*$E$11)</f>
        <v>0</v>
      </c>
      <c r="E35" s="73">
        <f t="shared" ref="E35:F35" si="22">E34*(1+$E$4)</f>
        <v>0</v>
      </c>
      <c r="F35" s="73">
        <f t="shared" si="22"/>
        <v>0</v>
      </c>
      <c r="G35" s="74">
        <f t="shared" si="0"/>
        <v>0</v>
      </c>
      <c r="H35" s="74">
        <f t="shared" si="1"/>
        <v>0</v>
      </c>
      <c r="I35" s="74">
        <f>G35-H35- IF(Dimensionamento!$E$7="A", Dimensionamento!$E$37*Dimensionamento!$E$20*12, 0)</f>
        <v>0</v>
      </c>
      <c r="J35" s="74" t="e">
        <f t="shared" si="2"/>
        <v>#VALUE!</v>
      </c>
      <c r="K35" s="74">
        <f t="shared" si="3"/>
        <v>0</v>
      </c>
      <c r="L35" s="74" t="e">
        <f t="shared" si="4"/>
        <v>#VALUE!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3">
      <c r="A36" s="1"/>
      <c r="B36" s="1"/>
      <c r="C36" s="75">
        <v>20</v>
      </c>
      <c r="D36" s="76">
        <f>Dimensionamento!$E$43*12*(1-$E$10-(C36-2)*$E$11)</f>
        <v>0</v>
      </c>
      <c r="E36" s="76">
        <f t="shared" ref="E36:F36" si="23">E35*(1+$E$4)</f>
        <v>0</v>
      </c>
      <c r="F36" s="76">
        <f t="shared" si="23"/>
        <v>0</v>
      </c>
      <c r="G36" s="77">
        <f t="shared" si="0"/>
        <v>0</v>
      </c>
      <c r="H36" s="77">
        <f t="shared" si="1"/>
        <v>0</v>
      </c>
      <c r="I36" s="77">
        <f>G36-H36- IF(Dimensionamento!$E$7="A", Dimensionamento!$E$37*Dimensionamento!$E$20*12, 0)</f>
        <v>0</v>
      </c>
      <c r="J36" s="77" t="e">
        <f t="shared" si="2"/>
        <v>#VALUE!</v>
      </c>
      <c r="K36" s="77">
        <f t="shared" si="3"/>
        <v>0</v>
      </c>
      <c r="L36" s="77" t="e">
        <f t="shared" si="4"/>
        <v>#VALUE!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3">
      <c r="A37" s="1"/>
      <c r="B37" s="1"/>
      <c r="C37" s="72">
        <v>21</v>
      </c>
      <c r="D37" s="73">
        <f>Dimensionamento!$E$43*12*(1-$E$10-(C37-2)*$E$11)</f>
        <v>0</v>
      </c>
      <c r="E37" s="73">
        <f t="shared" ref="E37:F37" si="24">E36*(1+$E$4)</f>
        <v>0</v>
      </c>
      <c r="F37" s="73">
        <f t="shared" si="24"/>
        <v>0</v>
      </c>
      <c r="G37" s="74">
        <f t="shared" si="0"/>
        <v>0</v>
      </c>
      <c r="H37" s="74">
        <f t="shared" si="1"/>
        <v>0</v>
      </c>
      <c r="I37" s="74">
        <f>G37-H37- IF(Dimensionamento!$E$7="A", Dimensionamento!$E$37*Dimensionamento!$E$20*12, 0)</f>
        <v>0</v>
      </c>
      <c r="J37" s="74" t="e">
        <f t="shared" si="2"/>
        <v>#VALUE!</v>
      </c>
      <c r="K37" s="74">
        <f t="shared" si="3"/>
        <v>0</v>
      </c>
      <c r="L37" s="74" t="e">
        <f t="shared" si="4"/>
        <v>#VALUE!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3">
      <c r="A38" s="1"/>
      <c r="B38" s="1"/>
      <c r="C38" s="75">
        <v>22</v>
      </c>
      <c r="D38" s="76">
        <f>Dimensionamento!$E$43*12*(1-$E$10-(C38-2)*$E$11)</f>
        <v>0</v>
      </c>
      <c r="E38" s="76">
        <f t="shared" ref="E38:F38" si="25">E37*(1+$E$4)</f>
        <v>0</v>
      </c>
      <c r="F38" s="76">
        <f t="shared" si="25"/>
        <v>0</v>
      </c>
      <c r="G38" s="77">
        <f t="shared" si="0"/>
        <v>0</v>
      </c>
      <c r="H38" s="77">
        <f t="shared" si="1"/>
        <v>0</v>
      </c>
      <c r="I38" s="77">
        <f>G38-H38- IF(Dimensionamento!$E$7="A", Dimensionamento!$E$37*Dimensionamento!$E$20*12, 0)</f>
        <v>0</v>
      </c>
      <c r="J38" s="77" t="e">
        <f t="shared" si="2"/>
        <v>#VALUE!</v>
      </c>
      <c r="K38" s="77">
        <f t="shared" si="3"/>
        <v>0</v>
      </c>
      <c r="L38" s="77" t="e">
        <f t="shared" si="4"/>
        <v>#VALUE!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3">
      <c r="A39" s="1"/>
      <c r="B39" s="1"/>
      <c r="C39" s="72">
        <v>23</v>
      </c>
      <c r="D39" s="73">
        <f>Dimensionamento!$E$43*12*(1-$E$10-(C39-2)*$E$11)</f>
        <v>0</v>
      </c>
      <c r="E39" s="73">
        <f t="shared" ref="E39:F39" si="26">E38*(1+$E$4)</f>
        <v>0</v>
      </c>
      <c r="F39" s="73">
        <f t="shared" si="26"/>
        <v>0</v>
      </c>
      <c r="G39" s="74">
        <f t="shared" si="0"/>
        <v>0</v>
      </c>
      <c r="H39" s="74">
        <f t="shared" si="1"/>
        <v>0</v>
      </c>
      <c r="I39" s="74">
        <f>G39-H39- IF(Dimensionamento!$E$7="A", Dimensionamento!$E$37*Dimensionamento!$E$20*12, 0)</f>
        <v>0</v>
      </c>
      <c r="J39" s="74" t="e">
        <f t="shared" si="2"/>
        <v>#VALUE!</v>
      </c>
      <c r="K39" s="74">
        <f t="shared" si="3"/>
        <v>0</v>
      </c>
      <c r="L39" s="74" t="e">
        <f t="shared" si="4"/>
        <v>#VALUE!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3">
      <c r="A40" s="1"/>
      <c r="B40" s="1"/>
      <c r="C40" s="75">
        <v>24</v>
      </c>
      <c r="D40" s="76">
        <f>Dimensionamento!$E$43*12*(1-$E$10-(C40-2)*$E$11)</f>
        <v>0</v>
      </c>
      <c r="E40" s="76">
        <f t="shared" ref="E40:F40" si="27">E39*(1+$E$4)</f>
        <v>0</v>
      </c>
      <c r="F40" s="76">
        <f t="shared" si="27"/>
        <v>0</v>
      </c>
      <c r="G40" s="77">
        <f t="shared" si="0"/>
        <v>0</v>
      </c>
      <c r="H40" s="77">
        <f t="shared" si="1"/>
        <v>0</v>
      </c>
      <c r="I40" s="77">
        <f>G40-H40- IF(Dimensionamento!$E$7="A", Dimensionamento!$E$37*Dimensionamento!$E$20*12, 0)</f>
        <v>0</v>
      </c>
      <c r="J40" s="77" t="e">
        <f t="shared" si="2"/>
        <v>#VALUE!</v>
      </c>
      <c r="K40" s="77">
        <f t="shared" si="3"/>
        <v>0</v>
      </c>
      <c r="L40" s="77" t="e">
        <f t="shared" si="4"/>
        <v>#VALUE!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3">
      <c r="A41" s="1"/>
      <c r="B41" s="1"/>
      <c r="C41" s="72">
        <v>25</v>
      </c>
      <c r="D41" s="73">
        <f>Dimensionamento!$E$43*12*(1-$E$10-(C41-2)*$E$11)</f>
        <v>0</v>
      </c>
      <c r="E41" s="73">
        <f t="shared" ref="E41:F41" si="28">E40*(1+$E$4)</f>
        <v>0</v>
      </c>
      <c r="F41" s="73">
        <f t="shared" si="28"/>
        <v>0</v>
      </c>
      <c r="G41" s="74">
        <f t="shared" si="0"/>
        <v>0</v>
      </c>
      <c r="H41" s="74">
        <f t="shared" si="1"/>
        <v>0</v>
      </c>
      <c r="I41" s="74">
        <f>G41-H41- IF(Dimensionamento!$E$7="A", Dimensionamento!$E$37*Dimensionamento!$E$20*12, 0)</f>
        <v>0</v>
      </c>
      <c r="J41" s="74" t="e">
        <f t="shared" si="2"/>
        <v>#VALUE!</v>
      </c>
      <c r="K41" s="74">
        <f t="shared" si="3"/>
        <v>0</v>
      </c>
      <c r="L41" s="74" t="e">
        <f t="shared" si="4"/>
        <v>#VALUE!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75">
        <v>26</v>
      </c>
      <c r="D42" s="76">
        <f>Dimensionamento!$E$43*12*(1-$E$10-(C42-2)*$E$11)</f>
        <v>0</v>
      </c>
      <c r="E42" s="76">
        <f t="shared" ref="E42:F42" si="29">E41*(1+$E$4)</f>
        <v>0</v>
      </c>
      <c r="F42" s="76">
        <f t="shared" si="29"/>
        <v>0</v>
      </c>
      <c r="G42" s="77">
        <f t="shared" si="0"/>
        <v>0</v>
      </c>
      <c r="H42" s="77">
        <f t="shared" si="1"/>
        <v>0</v>
      </c>
      <c r="I42" s="77">
        <f>G42-H42- IF(Dimensionamento!$E$7="A", Dimensionamento!$E$37*Dimensionamento!$E$20*12, 0)</f>
        <v>0</v>
      </c>
      <c r="J42" s="77" t="e">
        <f t="shared" si="2"/>
        <v>#VALUE!</v>
      </c>
      <c r="K42" s="77">
        <f t="shared" si="3"/>
        <v>0</v>
      </c>
      <c r="L42" s="77" t="e">
        <f t="shared" si="4"/>
        <v>#VALUE!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3">
      <c r="A43" s="1"/>
      <c r="B43" s="1"/>
      <c r="C43" s="72">
        <v>27</v>
      </c>
      <c r="D43" s="73">
        <f>Dimensionamento!$E$43*12*(1-$E$10-(C43-2)*$E$11)</f>
        <v>0</v>
      </c>
      <c r="E43" s="73">
        <f t="shared" ref="E43:F43" si="30">E42*(1+$E$4)</f>
        <v>0</v>
      </c>
      <c r="F43" s="73">
        <f t="shared" si="30"/>
        <v>0</v>
      </c>
      <c r="G43" s="74">
        <f t="shared" si="0"/>
        <v>0</v>
      </c>
      <c r="H43" s="74">
        <f t="shared" si="1"/>
        <v>0</v>
      </c>
      <c r="I43" s="74">
        <f>G43-H43- IF(Dimensionamento!$E$7="A", Dimensionamento!$E$37*Dimensionamento!$E$20*12, 0)</f>
        <v>0</v>
      </c>
      <c r="J43" s="74" t="e">
        <f t="shared" si="2"/>
        <v>#VALUE!</v>
      </c>
      <c r="K43" s="74">
        <f t="shared" si="3"/>
        <v>0</v>
      </c>
      <c r="L43" s="74" t="e">
        <f t="shared" si="4"/>
        <v>#VALUE!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75">
        <v>28</v>
      </c>
      <c r="D44" s="76">
        <f>Dimensionamento!$E$43*12*(1-$E$10-(C44-2)*$E$11)</f>
        <v>0</v>
      </c>
      <c r="E44" s="76">
        <f t="shared" ref="E44:F44" si="31">E43*(1+$E$4)</f>
        <v>0</v>
      </c>
      <c r="F44" s="76">
        <f t="shared" si="31"/>
        <v>0</v>
      </c>
      <c r="G44" s="77">
        <f t="shared" si="0"/>
        <v>0</v>
      </c>
      <c r="H44" s="77">
        <f t="shared" si="1"/>
        <v>0</v>
      </c>
      <c r="I44" s="77">
        <f>G44-H44- IF(Dimensionamento!$E$7="A", Dimensionamento!$E$37*Dimensionamento!$E$20*12, 0)</f>
        <v>0</v>
      </c>
      <c r="J44" s="77" t="e">
        <f t="shared" si="2"/>
        <v>#VALUE!</v>
      </c>
      <c r="K44" s="77">
        <f t="shared" si="3"/>
        <v>0</v>
      </c>
      <c r="L44" s="77" t="e">
        <f t="shared" si="4"/>
        <v>#VALUE!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3">
      <c r="A45" s="1"/>
      <c r="B45" s="1"/>
      <c r="C45" s="72">
        <v>29</v>
      </c>
      <c r="D45" s="73">
        <f>Dimensionamento!$E$43*12*(1-$E$10-(C45-2)*$E$11)</f>
        <v>0</v>
      </c>
      <c r="E45" s="73">
        <f t="shared" ref="E45:F45" si="32">E44*(1+$E$4)</f>
        <v>0</v>
      </c>
      <c r="F45" s="73">
        <f t="shared" si="32"/>
        <v>0</v>
      </c>
      <c r="G45" s="74">
        <f t="shared" si="0"/>
        <v>0</v>
      </c>
      <c r="H45" s="74">
        <f t="shared" si="1"/>
        <v>0</v>
      </c>
      <c r="I45" s="74">
        <f>G45-H45- IF(Dimensionamento!$E$7="A", Dimensionamento!$E$37*Dimensionamento!$E$20*12, 0)</f>
        <v>0</v>
      </c>
      <c r="J45" s="74" t="e">
        <f t="shared" si="2"/>
        <v>#VALUE!</v>
      </c>
      <c r="K45" s="74">
        <f t="shared" si="3"/>
        <v>0</v>
      </c>
      <c r="L45" s="74" t="e">
        <f t="shared" si="4"/>
        <v>#VALUE!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78">
        <v>30</v>
      </c>
      <c r="D46" s="79">
        <f>Dimensionamento!$E$43*12*(1-$E$10-(C46-2)*$E$11)</f>
        <v>0</v>
      </c>
      <c r="E46" s="79">
        <f t="shared" ref="E46:F46" si="33">E45*(1+$E$4)</f>
        <v>0</v>
      </c>
      <c r="F46" s="79">
        <f t="shared" si="33"/>
        <v>0</v>
      </c>
      <c r="G46" s="80">
        <f t="shared" si="0"/>
        <v>0</v>
      </c>
      <c r="H46" s="80">
        <f t="shared" si="1"/>
        <v>0</v>
      </c>
      <c r="I46" s="80">
        <f>G46-H46- IF(Dimensionamento!$E$7="A", Dimensionamento!$E$37*Dimensionamento!$E$20*12, 0)</f>
        <v>0</v>
      </c>
      <c r="J46" s="80" t="e">
        <f t="shared" si="2"/>
        <v>#VALUE!</v>
      </c>
      <c r="K46" s="80">
        <f t="shared" si="3"/>
        <v>0</v>
      </c>
      <c r="L46" s="80" t="e">
        <f t="shared" si="4"/>
        <v>#VALUE!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3">
      <c r="A49" s="1"/>
      <c r="B49" s="1"/>
      <c r="C49" s="5" t="s">
        <v>171</v>
      </c>
      <c r="D49" s="81" t="e">
        <f>SUM(K16:K46)</f>
        <v>#VALUE!</v>
      </c>
      <c r="E49" s="8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5" t="s">
        <v>172</v>
      </c>
      <c r="D50" s="83" t="e">
        <f>IRR(I16:I46)</f>
        <v>#VALUE!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29" t="s">
        <v>173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x14ac:dyDescent="0.3">
      <c r="A53" s="1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3">
      <c r="A56" s="1"/>
      <c r="B56" s="129" t="s">
        <v>174</v>
      </c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3">
      <c r="A57" s="1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x14ac:dyDescent="0.3">
      <c r="A58" s="1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52:L54"/>
    <mergeCell ref="B56:L58"/>
    <mergeCell ref="B1:D1"/>
    <mergeCell ref="G2:H2"/>
    <mergeCell ref="G3:H3"/>
    <mergeCell ref="B4:D4"/>
    <mergeCell ref="B5:D5"/>
    <mergeCell ref="B6:D6"/>
    <mergeCell ref="B7:D7"/>
    <mergeCell ref="B8:D8"/>
    <mergeCell ref="B9:D9"/>
    <mergeCell ref="B10:D10"/>
    <mergeCell ref="B11:D11"/>
    <mergeCell ref="B13:D13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Dimensionamento</vt:lpstr>
      <vt:lpstr>Payback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dos Santos</dc:creator>
  <cp:lastModifiedBy>Pedro Augusto Kzan</cp:lastModifiedBy>
  <dcterms:created xsi:type="dcterms:W3CDTF">2026-05-20T21:11:41Z</dcterms:created>
  <dcterms:modified xsi:type="dcterms:W3CDTF">2026-07-15T23:44:44Z</dcterms:modified>
</cp:coreProperties>
</file>