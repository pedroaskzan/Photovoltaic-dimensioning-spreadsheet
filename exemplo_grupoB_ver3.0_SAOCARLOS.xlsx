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amento" sheetId="1" r:id="rId4"/>
    <sheet state="visible" name="Payback" sheetId="2" r:id="rId5"/>
  </sheets>
  <definedNames/>
  <calcPr/>
  <extLst>
    <ext uri="GoogleSheetsCustomDataVersion2">
      <go:sheetsCustomData xmlns:go="http://customooxmlschemas.google.com/" r:id="rId6" roundtripDataChecksum="5uibO6rm1ARxK4uhQ14AdFTX7AZwkmnTw1gte+tYfq4="/>
    </ext>
  </extLst>
</workbook>
</file>

<file path=xl/sharedStrings.xml><?xml version="1.0" encoding="utf-8"?>
<sst xmlns="http://schemas.openxmlformats.org/spreadsheetml/2006/main" count="184" uniqueCount="178">
  <si>
    <t>Pedro Kzan - Eng. Elétrica | EESC USP</t>
  </si>
  <si>
    <t>Dimensionamento de Sistema Fotovoltaico ON-GRID para usuário micro ou minigerador com Payback - Dimens. Inicial</t>
  </si>
  <si>
    <t>À direita das células preenchíveis, seguem explicações.</t>
  </si>
  <si>
    <t>Legenda:</t>
  </si>
  <si>
    <t>Dados alteráveis:</t>
  </si>
  <si>
    <t>Dados Indicados (inputs)</t>
  </si>
  <si>
    <t>Dados fixos:</t>
  </si>
  <si>
    <t>Classe do Usuário</t>
  </si>
  <si>
    <t>B</t>
  </si>
  <si>
    <t>Disponível na conta de energia, assim como o modelo tarifário.</t>
  </si>
  <si>
    <t>Grupo B: tensão menor que 2,3kV</t>
  </si>
  <si>
    <t>Modelo tarifário</t>
  </si>
  <si>
    <t>Branca</t>
  </si>
  <si>
    <t>Grupo A: tensão maior que 2,3kV</t>
  </si>
  <si>
    <t>Cidade</t>
  </si>
  <si>
    <t>São Carlos</t>
  </si>
  <si>
    <t>Tmin</t>
  </si>
  <si>
    <t>ºC.</t>
  </si>
  <si>
    <t>Energia de Custo de Disponibilidade (Grupo B):</t>
  </si>
  <si>
    <t>Sistema monofásico: 30kWh</t>
  </si>
  <si>
    <t>Latitude</t>
  </si>
  <si>
    <r>
      <rPr>
        <rFont val="Trebuchet MS"/>
        <color theme="1"/>
        <sz val="8.0"/>
      </rPr>
      <t>º/</t>
    </r>
    <r>
      <rPr>
        <rFont val="Trebuchet MS"/>
        <b/>
        <color theme="1"/>
        <sz val="8.0"/>
      </rPr>
      <t>Sul</t>
    </r>
    <r>
      <rPr>
        <rFont val="Trebuchet MS"/>
        <color theme="1"/>
        <sz val="8.0"/>
      </rPr>
      <t>.</t>
    </r>
  </si>
  <si>
    <t>Sistema bifásico (3 fios): 50kWh</t>
  </si>
  <si>
    <t>Longitude</t>
  </si>
  <si>
    <t>º/Oeste.</t>
  </si>
  <si>
    <t>Sistema trifásico: 100kWh</t>
  </si>
  <si>
    <t>Irradiação Solar (GHI)</t>
  </si>
  <si>
    <t>*Sundata.</t>
  </si>
  <si>
    <t>(Grupo B) custo consumo TUSD (R$/kWh)</t>
  </si>
  <si>
    <t>Da conta de energia, disponível lá ou publicamente pela concessionária. *Se for tarifa branca, escolher o horário fora de ponta para facilitar cálculo. Espere um retorno 5-9% maior na realidade</t>
  </si>
  <si>
    <t>(Grupo B) custo consumo TE (R$/kWh)</t>
  </si>
  <si>
    <t>Se não há TUSD e TE separados na conta de energia, considere TE=TUSD.</t>
  </si>
  <si>
    <t>(Grupo A) c. cons. Fponta TUSD cheio (R$/kWh)</t>
  </si>
  <si>
    <t>TE: custo da energia; TUSD: custo do transporte dela.</t>
  </si>
  <si>
    <t>(Grupo A) c. cons. Fponta TE cheio (R$/kWh)</t>
  </si>
  <si>
    <t>https://portalrelatorios.aneel.gov.br/luznatarifa/basestarifas</t>
  </si>
  <si>
    <t>*Por fins de aproximação, desconsidero a ponta para o cálculo de Payback pois em Pernambuco ponta começa às 17:30, mas no horário a geração é tão pouca que desconsidero para facilitar cálculos.</t>
  </si>
  <si>
    <t>(Grupo A) c. cons. Fponta TUSD SCEE (R$/kWh)</t>
  </si>
  <si>
    <t>*Energia injetada</t>
  </si>
  <si>
    <t>(Grupo A) c. cons. Fponta TE SCEE (R$/kWh)</t>
  </si>
  <si>
    <t>(Grupo A) c. demanda geração TUSDG (R$/kWh)</t>
  </si>
  <si>
    <t>Fio B</t>
  </si>
  <si>
    <t>https://institutosolar.com/como-calcular-o-valor-do-fio-b-para-energia-solar/#:~:text=Para%20se%20obter%20o%20valor,Tarifas%20%3E%3E%20Relat%C3%B3rios%20e%20Indicadores.</t>
  </si>
  <si>
    <t>Porcentagem fio B</t>
  </si>
  <si>
    <t>90% = base 2029, irá mudar com nova resolução ANEEL</t>
  </si>
  <si>
    <t>Energia Mensal (EM)</t>
  </si>
  <si>
    <t>kWh/mês.</t>
  </si>
  <si>
    <t>Eficiência do sistema todo (ηsis)</t>
  </si>
  <si>
    <t>Escolher entre [0,7-0,9] -&gt; perdas surgem de temperatura, inversor, sujeira/poeira, cabeamento, mismatch, sombreamento, degradação.</t>
  </si>
  <si>
    <t>Potência do Painel (PMOD)</t>
  </si>
  <si>
    <t>W -&gt; escolha do projetista.</t>
  </si>
  <si>
    <t>Sobrecarga do Inversor (PCC/PCA)</t>
  </si>
  <si>
    <t>Escolher entre [1-1,25] -&gt; conferir no manual do inversor.</t>
  </si>
  <si>
    <t>Tensão em Vazio do Módulo</t>
  </si>
  <si>
    <t>V vide datasheet do módulo.</t>
  </si>
  <si>
    <t>Coeficiente de temperatura do módulo (α)</t>
  </si>
  <si>
    <t>Vide datasheet do módulo.</t>
  </si>
  <si>
    <t>Nº de MPPTs do Inversor</t>
  </si>
  <si>
    <t>Conexões no inversor.</t>
  </si>
  <si>
    <t>Dimensionamento Preliminar (outputs)</t>
  </si>
  <si>
    <t>Consumo de energia do cliente</t>
  </si>
  <si>
    <t>Energia média mensal (kWh/mês) obtida da conta de energia; média dos últimos 12 meses.</t>
  </si>
  <si>
    <t>(Grupo B) Custo de energia consumida</t>
  </si>
  <si>
    <t>R$/kWh.</t>
  </si>
  <si>
    <t>(Grupo B) custo de energia injetada</t>
  </si>
  <si>
    <t>(Grupo A) custo E consumo Fponta</t>
  </si>
  <si>
    <t>(Grupo A) custo energia injetada</t>
  </si>
  <si>
    <t>R$/kWh. Desconsiderar se é grupo B</t>
  </si>
  <si>
    <t>(Grupo A) Demanda de geração contratada ótima</t>
  </si>
  <si>
    <r>
      <rPr>
        <rFont val="Trebuchet MS"/>
        <color theme="1"/>
        <sz val="8.0"/>
      </rPr>
      <t xml:space="preserve">kW, </t>
    </r>
    <r>
      <rPr>
        <rFont val="Trebuchet MS"/>
        <i/>
        <color theme="1"/>
        <sz val="8.0"/>
      </rPr>
      <t>aproximado</t>
    </r>
  </si>
  <si>
    <t>Potência Fotovoltaica teórica</t>
  </si>
  <si>
    <r>
      <rPr>
        <rFont val="Trebuchet MS"/>
        <color theme="1"/>
        <sz val="8.0"/>
      </rPr>
      <t>W; P</t>
    </r>
    <r>
      <rPr>
        <rFont val="Trebuchet MS"/>
        <color theme="1"/>
        <sz val="5.0"/>
      </rPr>
      <t>FV</t>
    </r>
    <r>
      <rPr>
        <rFont val="Trebuchet MS"/>
        <color theme="1"/>
        <sz val="8.0"/>
      </rPr>
      <t>=1000*E</t>
    </r>
    <r>
      <rPr>
        <rFont val="Trebuchet MS"/>
        <color theme="1"/>
        <sz val="5.0"/>
      </rPr>
      <t>FV</t>
    </r>
    <r>
      <rPr>
        <rFont val="Trebuchet MS"/>
        <color theme="1"/>
        <sz val="8.0"/>
      </rPr>
      <t>/(30*GHI*ηsis).</t>
    </r>
  </si>
  <si>
    <t>Número de módulos</t>
  </si>
  <si>
    <t>(Arredondado pra cima).</t>
  </si>
  <si>
    <t>Nº de módulos/Nº de MPPT</t>
  </si>
  <si>
    <t>Potência Fotovoltaica real</t>
  </si>
  <si>
    <t>W (com nº inteiro de módulos).</t>
  </si>
  <si>
    <t>Potência do Inversor em CA</t>
  </si>
  <si>
    <r>
      <rPr>
        <rFont val="Trebuchet MS"/>
        <i val="0"/>
        <color theme="1"/>
        <sz val="8.0"/>
      </rPr>
      <t>W;</t>
    </r>
    <r>
      <rPr>
        <rFont val="Trebuchet MS"/>
        <i/>
        <color theme="1"/>
        <sz val="8.0"/>
      </rPr>
      <t xml:space="preserve"> aproximado.</t>
    </r>
  </si>
  <si>
    <t>Energia Fotovoltaica real</t>
  </si>
  <si>
    <t>kWh; Geração estimada, a potência é a nominal do inversor</t>
  </si>
  <si>
    <t>Tensão máxima por MPPT</t>
  </si>
  <si>
    <t>Conferir datasheet e ver se o inversor suporta, precisa de VMPPTmax_Inverter_Datasheet &gt; do que este valor.</t>
  </si>
  <si>
    <t>Inclinação ideal</t>
  </si>
  <si>
    <r>
      <rPr>
        <rFont val="Trebuchet MS"/>
        <color theme="1"/>
        <sz val="8.0"/>
      </rPr>
      <t>º/</t>
    </r>
    <r>
      <rPr>
        <rFont val="Trebuchet MS"/>
        <b/>
        <color theme="1"/>
        <sz val="8.0"/>
      </rPr>
      <t>Norte</t>
    </r>
    <r>
      <rPr>
        <rFont val="Trebuchet MS"/>
        <color theme="1"/>
        <sz val="8.0"/>
      </rPr>
      <t>; escolha ótima se for possível escolher a inclinação (compensa pela inclinação da latitude).</t>
    </r>
  </si>
  <si>
    <t>Custos</t>
  </si>
  <si>
    <t>Equipamento</t>
  </si>
  <si>
    <t>Quantidade</t>
  </si>
  <si>
    <t>Custo unitário</t>
  </si>
  <si>
    <t>Custo total</t>
  </si>
  <si>
    <t>Módulo Fotovoltaico Longi Solar 550W</t>
  </si>
  <si>
    <t>Inversor WEG SIWM300H M050 5kW</t>
  </si>
  <si>
    <t>String box</t>
  </si>
  <si>
    <t>Conjunto conector</t>
  </si>
  <si>
    <t>Cabo solar</t>
  </si>
  <si>
    <t>(metros)</t>
  </si>
  <si>
    <t>Preço total conjunto estimado</t>
  </si>
  <si>
    <r>
      <rPr>
        <rFont val="Trebuchet MS"/>
        <color theme="1"/>
        <sz val="8.0"/>
      </rPr>
      <t xml:space="preserve">*fonte: estimativa via preços em </t>
    </r>
    <r>
      <rPr>
        <rFont val="Trebuchet MS"/>
        <color rgb="FF1155CC"/>
        <sz val="8.0"/>
        <u/>
      </rPr>
      <t>PortalSolar.com.br</t>
    </r>
  </si>
  <si>
    <t>Grampo intermediário</t>
  </si>
  <si>
    <t>Grampo terminador</t>
  </si>
  <si>
    <t>Hook de aço Kit</t>
  </si>
  <si>
    <t>Emenda perfil</t>
  </si>
  <si>
    <t>Grampo de aterramento</t>
  </si>
  <si>
    <t>Abraçadeira cabos</t>
  </si>
  <si>
    <t>Clip de aterramento</t>
  </si>
  <si>
    <t>Perfil de Alumínio Anodizado p/ módulos</t>
  </si>
  <si>
    <t>Eletrobox (quadro CA) e outros</t>
  </si>
  <si>
    <t>Preço Distribuído (1)</t>
  </si>
  <si>
    <t>Preço item a item.</t>
  </si>
  <si>
    <t>Preço Concentrado (2)</t>
  </si>
  <si>
    <t>-</t>
  </si>
  <si>
    <t>Preço de um kit solar pronto.</t>
  </si>
  <si>
    <t>Escolher (1) ou (2)</t>
  </si>
  <si>
    <t>Valor do material</t>
  </si>
  <si>
    <t>Transporte (10% do valor do material)</t>
  </si>
  <si>
    <t>Estudos e Análises</t>
  </si>
  <si>
    <t>Ligação à rede e mão de obra</t>
  </si>
  <si>
    <t>Outro</t>
  </si>
  <si>
    <t>Desconto</t>
  </si>
  <si>
    <t>Valor do Investimento</t>
  </si>
  <si>
    <t>Total:</t>
  </si>
  <si>
    <t>Avaliação Econômica</t>
  </si>
  <si>
    <t>Custo / Watt-pico</t>
  </si>
  <si>
    <t>/Wp</t>
  </si>
  <si>
    <t>Quanto menor, melhor</t>
  </si>
  <si>
    <t>*É estimado que com BESS instalado e estratégia de usar para autoconsumo e evitar pagar FioB ajude ainda mais a valorizar o projeto.</t>
  </si>
  <si>
    <t>*Para sistemas do grupo A, o aproveitamento monetário é muito maior suprindo autoconsumo - recomendável instalar BESS.</t>
  </si>
  <si>
    <t>*O preço dos kits solares têm diminuído e a energia tem se valorizado mais nos últimos anos</t>
  </si>
  <si>
    <t>Viabilidade Econômica</t>
  </si>
  <si>
    <t>Células Auxiliares + Porcentagem FioB (desconta na injetada)</t>
  </si>
  <si>
    <t>Fatores de Influência Adotados</t>
  </si>
  <si>
    <t>Valor</t>
  </si>
  <si>
    <t>TE_ef cheio</t>
  </si>
  <si>
    <t>TE_ef SCEE (GA)</t>
  </si>
  <si>
    <t xml:space="preserve">Previsão de aumento do custo Energia </t>
  </si>
  <si>
    <t>/ano</t>
  </si>
  <si>
    <t>Baseado no aumento médio do custo da energia nos últimos anos.</t>
  </si>
  <si>
    <t>TUSD_ef cheio</t>
  </si>
  <si>
    <t>TUSD SCEE (GA)</t>
  </si>
  <si>
    <t>Taxa de Autoconsumo</t>
  </si>
  <si>
    <t>*Qnt. geração usada para suprir o próprio consumo, não injetada - residência, escolher entre 20-40% se não houver armazenamento (BESS); com BESS, depende da estratégia adotada no sistema.</t>
  </si>
  <si>
    <t>FioB_ef</t>
  </si>
  <si>
    <t>*Base para uso futuro</t>
  </si>
  <si>
    <t>Taxa de Desconto</t>
  </si>
  <si>
    <t>Taxa usada para cálculo do Fluxo Descontado e VPL.</t>
  </si>
  <si>
    <t>Porcentagem Fio B</t>
  </si>
  <si>
    <r>
      <rPr>
        <rFont val="Trebuchet MS"/>
        <color theme="1"/>
        <sz val="7.0"/>
      </rPr>
      <t>90% = base (2029) até nova resolução ANEEL. *</t>
    </r>
    <r>
      <rPr>
        <rFont val="Trebuchet MS"/>
        <i/>
        <color theme="1"/>
        <sz val="7.0"/>
      </rPr>
      <t>Base para uso futuro</t>
    </r>
  </si>
  <si>
    <t>Vida útil do inversor</t>
  </si>
  <si>
    <t>anos</t>
  </si>
  <si>
    <t>Estimativa.</t>
  </si>
  <si>
    <t>Custo de manutenção em relação à economia anual</t>
  </si>
  <si>
    <t>Em torno de 1%-5% do custo de Energia Gerada para limpeza do módulos.</t>
  </si>
  <si>
    <t>Custos total do inversor em relação à economia anual</t>
  </si>
  <si>
    <t>Em torno de 30-70%. Apenas para efeitos de troca do inversor após a vida útil.</t>
  </si>
  <si>
    <t xml:space="preserve">Perda de eficiencia do painel </t>
  </si>
  <si>
    <t>1º ano.</t>
  </si>
  <si>
    <t>Perda de eficiencia do painel (outros anos)</t>
  </si>
  <si>
    <t>2º ano em diante.</t>
  </si>
  <si>
    <t>Cenário: Pessimista (1); Base (2); Otimista (3)</t>
  </si>
  <si>
    <r>
      <rPr>
        <rFont val="Trebuchet MS"/>
        <color theme="1"/>
        <sz val="7.0"/>
      </rPr>
      <t>*Será decidido pela ANEEL nova valorização da energia injetável. Escolhi cenário 1: só vale TE; cenário 2: TE+TUSD-FioB*</t>
    </r>
    <r>
      <rPr>
        <rFont val="Trebuchet MS"/>
        <strike/>
        <color theme="1"/>
        <sz val="7.0"/>
      </rPr>
      <t>%</t>
    </r>
    <r>
      <rPr>
        <rFont val="Trebuchet MS"/>
        <color theme="1"/>
        <sz val="7.0"/>
      </rPr>
      <t>; cenário 3: preço cheio, TE+TUSD (teto, benefícios).</t>
    </r>
  </si>
  <si>
    <t>FioB% do TUSD (estimativa geral)</t>
  </si>
  <si>
    <t>Pois o FioB é uma tarifa baseada na TUSD. Conforme TUSD aumenta de valor, FioB também aumenta e pode mudar de forma independente por outras dinâmicas</t>
  </si>
  <si>
    <t>Payback simples</t>
  </si>
  <si>
    <t>Payback descontado (supondo desvalorização)</t>
  </si>
  <si>
    <t>Ano</t>
  </si>
  <si>
    <t>Energia Anual Gerada (kWh)</t>
  </si>
  <si>
    <t>Custo do kWh de Energia Consumida (R$)</t>
  </si>
  <si>
    <t>Custo do kWh de Energia Injetada (R$)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</si>
  <si>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</si>
  <si>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</si>
  <si>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</si>
  <si>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</si>
  <si>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</si>
  <si>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</si>
  <si>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VPL</t>
  </si>
  <si>
    <t>TIR</t>
  </si>
  <si>
    <t>VPL (Valor Presente Líquido):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</si>
  <si>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 (Taxa Interna de Retorno): Taxa de desconto que zera o VPL; representa a rentabilidade equivalente do investimento.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</si>
</sst>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R$ -416]* #,##0.00_);_([$R$ -416]* \(#,##0.00\);_([$R$ -416]* &quot;-&quot;??_);_(@_)"/>
    <numFmt numFmtId="165" formatCode="&quot;R$&quot;\ #,##0.00"/>
    <numFmt numFmtId="166" formatCode="_-&quot;R$&quot;\ * #,##0.00_-;\-&quot;R$&quot;\ * #,##0.00_-;_-&quot;R$&quot;\ * &quot;-&quot;??_-;_-@"/>
  </numFmts>
  <fonts count="22">
    <font>
      <sz val="11.0"/>
      <color theme="1"/>
      <name val="Trebuchet MS"/>
      <scheme val="minor"/>
    </font>
    <font>
      <sz val="11.0"/>
      <color theme="1"/>
      <name val="Trebuchet MS"/>
    </font>
    <font/>
    <font>
      <b/>
      <sz val="11.0"/>
      <color theme="1"/>
      <name val="Trebuchet MS"/>
    </font>
    <font>
      <sz val="8.0"/>
      <color theme="1"/>
      <name val="Trebuchet MS"/>
    </font>
    <font>
      <b/>
      <sz val="9.0"/>
      <color theme="1"/>
      <name val="Trebuchet MS"/>
    </font>
    <font>
      <sz val="10.0"/>
      <color theme="1"/>
      <name val="Trebuchet MS"/>
    </font>
    <font>
      <i/>
      <sz val="8.0"/>
      <color theme="1"/>
      <name val="Trebuchet MS"/>
    </font>
    <font>
      <sz val="9.0"/>
      <color theme="1"/>
      <name val="Trebuchet MS"/>
    </font>
    <font>
      <sz val="7.0"/>
      <color theme="1"/>
      <name val="Trebuchet MS"/>
    </font>
    <font>
      <b/>
      <sz val="8.0"/>
      <color theme="1"/>
      <name val="Trebuchet MS"/>
    </font>
    <font>
      <u/>
      <sz val="7.0"/>
      <color theme="10"/>
      <name val="Trebuchet MS"/>
    </font>
    <font>
      <u/>
      <sz val="7.0"/>
      <color theme="10"/>
      <name val="Trebuchet MS"/>
    </font>
    <font>
      <u/>
      <sz val="8.0"/>
      <color theme="10"/>
      <name val="Trebuchet MS"/>
    </font>
    <font>
      <u/>
      <sz val="8.0"/>
      <color theme="1"/>
      <name val="Trebuchet MS"/>
    </font>
    <font>
      <b/>
      <sz val="10.0"/>
      <color theme="1"/>
      <name val="Trebuchet MS"/>
    </font>
    <font>
      <sz val="12.0"/>
      <color theme="1"/>
      <name val="Trebuchet MS"/>
    </font>
    <font>
      <sz val="15.0"/>
      <color theme="1"/>
      <name val="Trebuchet MS"/>
    </font>
    <font>
      <i/>
      <sz val="7.0"/>
      <color theme="1"/>
      <name val="Trebuchet MS"/>
    </font>
    <font>
      <sz val="8.0"/>
      <color rgb="FF000000"/>
      <name val="Trebuchet MS"/>
    </font>
    <font>
      <sz val="7.0"/>
      <color rgb="FF000000"/>
      <name val="Trebuchet MS"/>
    </font>
    <font>
      <sz val="6.0"/>
      <color theme="1"/>
      <name val="Trebuchet MS"/>
    </font>
  </fonts>
  <fills count="7">
    <fill>
      <patternFill patternType="none"/>
    </fill>
    <fill>
      <patternFill patternType="lightGray"/>
    </fill>
    <fill>
      <patternFill patternType="solid">
        <fgColor rgb="FFC1DF87"/>
        <bgColor rgb="FFC1DF87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4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3" fontId="3" numFmtId="0" xfId="0" applyBorder="1" applyFill="1" applyFont="1"/>
    <xf borderId="5" fillId="3" fontId="3" numFmtId="0" xfId="0" applyBorder="1" applyFont="1"/>
    <xf borderId="6" fillId="3" fontId="3" numFmtId="0" xfId="0" applyBorder="1" applyFont="1"/>
    <xf borderId="4" fillId="3" fontId="1" numFmtId="0" xfId="0" applyBorder="1" applyFont="1"/>
    <xf borderId="6" fillId="3" fontId="1" numFmtId="0" xfId="0" applyBorder="1" applyFont="1"/>
    <xf borderId="0" fillId="0" fontId="4" numFmtId="0" xfId="0" applyFont="1"/>
    <xf borderId="0" fillId="0" fontId="3" numFmtId="0" xfId="0" applyFont="1"/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9" fillId="4" fontId="1" numFmtId="0" xfId="0" applyBorder="1" applyFill="1" applyFont="1"/>
    <xf borderId="1" fillId="3" fontId="3" numFmtId="0" xfId="0" applyAlignment="1" applyBorder="1" applyFont="1">
      <alignment horizontal="center"/>
    </xf>
    <xf borderId="10" fillId="0" fontId="2" numFmtId="0" xfId="0" applyBorder="1" applyFont="1"/>
    <xf borderId="9" fillId="5" fontId="1" numFmtId="0" xfId="0" applyBorder="1" applyFill="1" applyFont="1"/>
    <xf borderId="4" fillId="6" fontId="5" numFmtId="0" xfId="0" applyAlignment="1" applyBorder="1" applyFill="1" applyFont="1">
      <alignment horizontal="left"/>
    </xf>
    <xf borderId="5" fillId="6" fontId="5" numFmtId="0" xfId="0" applyAlignment="1" applyBorder="1" applyFont="1">
      <alignment horizontal="center"/>
    </xf>
    <xf borderId="9" fillId="4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0" fillId="0" fontId="7" numFmtId="0" xfId="0" applyFont="1"/>
    <xf borderId="0" fillId="0" fontId="4" numFmtId="0" xfId="0" applyAlignment="1" applyFont="1">
      <alignment horizontal="center"/>
    </xf>
    <xf borderId="11" fillId="3" fontId="8" numFmtId="0" xfId="0" applyBorder="1" applyFont="1"/>
    <xf borderId="12" fillId="0" fontId="2" numFmtId="0" xfId="0" applyBorder="1" applyFont="1"/>
    <xf borderId="13" fillId="0" fontId="2" numFmtId="0" xfId="0" applyBorder="1" applyFont="1"/>
    <xf borderId="9" fillId="6" fontId="6" numFmtId="0" xfId="0" applyAlignment="1" applyBorder="1" applyFont="1">
      <alignment horizontal="center" shrinkToFit="0" wrapText="1"/>
    </xf>
    <xf borderId="14" fillId="3" fontId="8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5" numFmtId="0" xfId="0" applyAlignment="1" applyBorder="1" applyFont="1">
      <alignment horizontal="left"/>
    </xf>
    <xf borderId="18" fillId="0" fontId="2" numFmtId="0" xfId="0" applyBorder="1" applyFont="1"/>
    <xf borderId="19" fillId="0" fontId="2" numFmtId="0" xfId="0" applyBorder="1" applyFont="1"/>
    <xf borderId="20" fillId="4" fontId="6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left"/>
    </xf>
    <xf borderId="21" fillId="0" fontId="2" numFmtId="0" xfId="0" applyBorder="1" applyFont="1"/>
    <xf borderId="22" fillId="0" fontId="4" numFmtId="0" xfId="0" applyAlignment="1" applyBorder="1" applyFont="1">
      <alignment horizontal="left"/>
    </xf>
    <xf borderId="23" fillId="0" fontId="2" numFmtId="0" xfId="0" applyBorder="1" applyFont="1"/>
    <xf borderId="24" fillId="3" fontId="9" numFmtId="0" xfId="0" applyBorder="1" applyFont="1"/>
    <xf borderId="25" fillId="3" fontId="4" numFmtId="0" xfId="0" applyBorder="1" applyFont="1"/>
    <xf borderId="26" fillId="3" fontId="1" numFmtId="0" xfId="0" applyBorder="1" applyFont="1"/>
    <xf borderId="27" fillId="3" fontId="5" numFmtId="0" xfId="0" applyAlignment="1" applyBorder="1" applyFont="1">
      <alignment horizontal="left"/>
    </xf>
    <xf borderId="22" fillId="0" fontId="4" numFmtId="0" xfId="0" applyBorder="1" applyFont="1"/>
    <xf borderId="28" fillId="3" fontId="5" numFmtId="0" xfId="0" applyAlignment="1" applyBorder="1" applyFont="1">
      <alignment horizontal="left"/>
    </xf>
    <xf borderId="29" fillId="0" fontId="2" numFmtId="0" xfId="0" applyBorder="1" applyFont="1"/>
    <xf borderId="22" fillId="0" fontId="10" numFmtId="0" xfId="0" applyBorder="1" applyFont="1"/>
    <xf borderId="14" fillId="3" fontId="5" numFmtId="0" xfId="0" applyAlignment="1" applyBorder="1" applyFont="1">
      <alignment horizontal="left"/>
    </xf>
    <xf borderId="22" fillId="0" fontId="7" numFmtId="0" xfId="0" applyBorder="1" applyFont="1"/>
    <xf borderId="10" fillId="0" fontId="5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22" fillId="0" fontId="11" numFmtId="0" xfId="0" applyBorder="1" applyFont="1"/>
    <xf borderId="0" fillId="0" fontId="7" numFmtId="0" xfId="0" applyAlignment="1" applyFont="1">
      <alignment horizontal="left"/>
    </xf>
    <xf borderId="0" fillId="0" fontId="12" numFmtId="0" xfId="0" applyFont="1"/>
    <xf borderId="9" fillId="6" fontId="6" numFmtId="0" xfId="0" applyAlignment="1" applyBorder="1" applyFont="1">
      <alignment horizontal="center"/>
    </xf>
    <xf borderId="22" fillId="0" fontId="13" numFmtId="0" xfId="0" applyAlignment="1" applyBorder="1" applyFont="1">
      <alignment horizontal="left"/>
    </xf>
    <xf borderId="9" fillId="6" fontId="6" numFmtId="9" xfId="0" applyAlignment="1" applyBorder="1" applyFont="1" applyNumberFormat="1">
      <alignment horizontal="center"/>
    </xf>
    <xf borderId="9" fillId="4" fontId="6" numFmtId="0" xfId="0" applyAlignment="1" applyBorder="1" applyFont="1">
      <alignment horizontal="center" readingOrder="0"/>
    </xf>
    <xf borderId="30" fillId="0" fontId="5" numFmtId="0" xfId="0" applyAlignment="1" applyBorder="1" applyFont="1">
      <alignment horizontal="left"/>
    </xf>
    <xf borderId="9" fillId="5" fontId="6" numFmtId="0" xfId="0" applyAlignment="1" applyBorder="1" applyFont="1">
      <alignment horizontal="center"/>
    </xf>
    <xf borderId="9" fillId="5" fontId="6" numFmtId="2" xfId="0" applyAlignment="1" applyBorder="1" applyFont="1" applyNumberFormat="1">
      <alignment horizontal="center"/>
    </xf>
    <xf borderId="22" fillId="0" fontId="4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1" fillId="3" fontId="1" numFmtId="0" xfId="0" applyAlignment="1" applyBorder="1" applyFont="1">
      <alignment horizontal="center"/>
    </xf>
    <xf borderId="1" fillId="3" fontId="4" numFmtId="0" xfId="0" applyAlignment="1" applyBorder="1" applyFont="1">
      <alignment horizontal="left"/>
    </xf>
    <xf borderId="31" fillId="3" fontId="4" numFmtId="0" xfId="0" applyBorder="1" applyFont="1"/>
    <xf borderId="7" fillId="0" fontId="8" numFmtId="0" xfId="0" applyAlignment="1" applyBorder="1" applyFont="1">
      <alignment readingOrder="0"/>
    </xf>
    <xf borderId="30" fillId="4" fontId="1" numFmtId="0" xfId="0" applyAlignment="1" applyBorder="1" applyFont="1">
      <alignment horizontal="right" readingOrder="0"/>
    </xf>
    <xf borderId="30" fillId="4" fontId="1" numFmtId="164" xfId="0" applyAlignment="1" applyBorder="1" applyFont="1" applyNumberFormat="1">
      <alignment horizontal="center"/>
    </xf>
    <xf borderId="30" fillId="5" fontId="1" numFmtId="164" xfId="0" applyAlignment="1" applyBorder="1" applyFont="1" applyNumberFormat="1">
      <alignment horizontal="center"/>
    </xf>
    <xf borderId="7" fillId="0" fontId="8" numFmtId="0" xfId="0" applyBorder="1" applyFont="1"/>
    <xf borderId="30" fillId="4" fontId="1" numFmtId="164" xfId="0" applyAlignment="1" applyBorder="1" applyFont="1" applyNumberFormat="1">
      <alignment horizontal="center" readingOrder="0"/>
    </xf>
    <xf borderId="0" fillId="0" fontId="14" numFmtId="0" xfId="0" applyAlignment="1" applyFont="1">
      <alignment readingOrder="0"/>
    </xf>
    <xf borderId="30" fillId="4" fontId="1" numFmtId="0" xfId="0" applyAlignment="1" applyBorder="1" applyFont="1">
      <alignment horizontal="right"/>
    </xf>
    <xf borderId="32" fillId="4" fontId="1" numFmtId="0" xfId="0" applyAlignment="1" applyBorder="1" applyFont="1">
      <alignment horizontal="right"/>
    </xf>
    <xf borderId="32" fillId="4" fontId="1" numFmtId="164" xfId="0" applyAlignment="1" applyBorder="1" applyFont="1" applyNumberFormat="1">
      <alignment horizontal="center"/>
    </xf>
    <xf borderId="32" fillId="5" fontId="1" numFmtId="164" xfId="0" applyAlignment="1" applyBorder="1" applyFont="1" applyNumberFormat="1">
      <alignment horizontal="center"/>
    </xf>
    <xf borderId="9" fillId="0" fontId="8" numFmtId="0" xfId="0" applyBorder="1" applyFont="1"/>
    <xf borderId="9" fillId="0" fontId="1" numFmtId="0" xfId="0" applyBorder="1" applyFont="1"/>
    <xf borderId="9" fillId="5" fontId="6" numFmtId="165" xfId="0" applyAlignment="1" applyBorder="1" applyFont="1" applyNumberFormat="1">
      <alignment horizontal="center"/>
    </xf>
    <xf borderId="9" fillId="4" fontId="6" numFmtId="165" xfId="0" applyAlignment="1" applyBorder="1" applyFont="1" applyNumberFormat="1">
      <alignment horizontal="center" readingOrder="0"/>
    </xf>
    <xf borderId="33" fillId="6" fontId="10" numFmtId="0" xfId="0" applyAlignment="1" applyBorder="1" applyFont="1">
      <alignment horizontal="left"/>
    </xf>
    <xf borderId="34" fillId="0" fontId="2" numFmtId="0" xfId="0" applyBorder="1" applyFont="1"/>
    <xf borderId="35" fillId="6" fontId="1" numFmtId="166" xfId="0" applyAlignment="1" applyBorder="1" applyFont="1" applyNumberFormat="1">
      <alignment horizontal="center"/>
    </xf>
    <xf borderId="36" fillId="0" fontId="2" numFmtId="0" xfId="0" applyBorder="1" applyFont="1"/>
    <xf borderId="0" fillId="0" fontId="1" numFmtId="0" xfId="0" applyAlignment="1" applyFont="1">
      <alignment horizontal="left"/>
    </xf>
    <xf borderId="33" fillId="6" fontId="10" numFmtId="0" xfId="0" applyAlignment="1" applyBorder="1" applyFont="1">
      <alignment horizontal="left" shrinkToFit="0" vertical="center" wrapText="1"/>
    </xf>
    <xf borderId="35" fillId="6" fontId="1" numFmtId="166" xfId="0" applyAlignment="1" applyBorder="1" applyFont="1" applyNumberFormat="1">
      <alignment horizontal="left"/>
    </xf>
    <xf borderId="37" fillId="6" fontId="10" numFmtId="0" xfId="0" applyBorder="1" applyFont="1"/>
    <xf borderId="38" fillId="6" fontId="4" numFmtId="166" xfId="0" applyAlignment="1" applyBorder="1" applyFont="1" applyNumberFormat="1">
      <alignment horizontal="right"/>
    </xf>
    <xf borderId="35" fillId="6" fontId="1" numFmtId="166" xfId="0" applyBorder="1" applyFont="1" applyNumberFormat="1"/>
    <xf borderId="0" fillId="0" fontId="6" numFmtId="0" xfId="0" applyAlignment="1" applyFont="1">
      <alignment horizontal="right"/>
    </xf>
    <xf borderId="33" fillId="6" fontId="15" numFmtId="166" xfId="0" applyBorder="1" applyFont="1" applyNumberFormat="1"/>
    <xf borderId="1" fillId="3" fontId="16" numFmtId="0" xfId="0" applyAlignment="1" applyBorder="1" applyFont="1">
      <alignment horizontal="center"/>
    </xf>
    <xf borderId="0" fillId="0" fontId="6" numFmtId="0" xfId="0" applyFont="1"/>
    <xf borderId="31" fillId="5" fontId="1" numFmtId="0" xfId="0" applyBorder="1" applyFont="1"/>
    <xf borderId="31" fillId="6" fontId="5" numFmtId="0" xfId="0" applyBorder="1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7" numFmtId="0" xfId="0" applyAlignment="1" applyFont="1">
      <alignment horizontal="center" vertical="center"/>
    </xf>
    <xf borderId="0" fillId="0" fontId="8" numFmtId="0" xfId="0" applyFont="1"/>
    <xf borderId="4" fillId="3" fontId="4" numFmtId="0" xfId="0" applyBorder="1" applyFont="1"/>
    <xf borderId="39" fillId="5" fontId="8" numFmtId="0" xfId="0" applyAlignment="1" applyBorder="1" applyFont="1">
      <alignment horizontal="center"/>
    </xf>
    <xf borderId="5" fillId="3" fontId="4" numFmtId="0" xfId="0" applyBorder="1" applyFont="1"/>
    <xf borderId="40" fillId="5" fontId="8" numFmtId="0" xfId="0" applyAlignment="1" applyBorder="1" applyFont="1">
      <alignment horizontal="center"/>
    </xf>
    <xf borderId="7" fillId="3" fontId="4" numFmtId="0" xfId="0" applyBorder="1" applyFont="1"/>
    <xf borderId="9" fillId="4" fontId="8" numFmtId="10" xfId="0" applyAlignment="1" applyBorder="1" applyFont="1" applyNumberFormat="1">
      <alignment horizontal="center" readingOrder="0"/>
    </xf>
    <xf borderId="0" fillId="0" fontId="9" numFmtId="0" xfId="0" applyFont="1"/>
    <xf borderId="7" fillId="3" fontId="4" numFmtId="0" xfId="0" applyAlignment="1" applyBorder="1" applyFont="1">
      <alignment horizontal="left"/>
    </xf>
    <xf borderId="9" fillId="4" fontId="8" numFmtId="9" xfId="0" applyAlignment="1" applyBorder="1" applyFont="1" applyNumberFormat="1">
      <alignment horizontal="center"/>
    </xf>
    <xf borderId="40" fillId="6" fontId="8" numFmtId="0" xfId="0" applyAlignment="1" applyBorder="1" applyFont="1">
      <alignment horizontal="center"/>
    </xf>
    <xf borderId="0" fillId="0" fontId="18" numFmtId="0" xfId="0" applyFont="1"/>
    <xf borderId="40" fillId="6" fontId="8" numFmtId="9" xfId="0" applyAlignment="1" applyBorder="1" applyFont="1" applyNumberFormat="1">
      <alignment horizontal="center"/>
    </xf>
    <xf borderId="7" fillId="3" fontId="19" numFmtId="0" xfId="0" applyBorder="1" applyFont="1"/>
    <xf borderId="9" fillId="4" fontId="8" numFmtId="0" xfId="0" applyAlignment="1" applyBorder="1" applyFont="1">
      <alignment horizontal="center"/>
    </xf>
    <xf borderId="0" fillId="0" fontId="20" numFmtId="0" xfId="0" applyFont="1"/>
    <xf borderId="0" fillId="0" fontId="9" numFmtId="10" xfId="0" applyFont="1" applyNumberFormat="1"/>
    <xf borderId="9" fillId="5" fontId="8" numFmtId="10" xfId="0" applyAlignment="1" applyBorder="1" applyFont="1" applyNumberFormat="1">
      <alignment horizontal="center"/>
    </xf>
    <xf borderId="5" fillId="3" fontId="1" numFmtId="0" xfId="0" applyBorder="1" applyFont="1"/>
    <xf borderId="31" fillId="3" fontId="21" numFmtId="0" xfId="0" applyAlignment="1" applyBorder="1" applyFont="1">
      <alignment horizontal="center" vertical="center"/>
    </xf>
    <xf borderId="31" fillId="3" fontId="21" numFmtId="0" xfId="0" applyAlignment="1" applyBorder="1" applyFont="1">
      <alignment horizontal="center" shrinkToFit="0" vertical="center" wrapText="1"/>
    </xf>
    <xf borderId="9" fillId="5" fontId="15" numFmtId="0" xfId="0" applyAlignment="1" applyBorder="1" applyFont="1">
      <alignment horizontal="center" shrinkToFit="0" vertical="center" wrapText="1"/>
    </xf>
    <xf borderId="41" fillId="5" fontId="6" numFmtId="0" xfId="0" applyAlignment="1" applyBorder="1" applyFont="1">
      <alignment horizontal="center" shrinkToFit="0" vertical="center" wrapText="1"/>
    </xf>
    <xf borderId="41" fillId="5" fontId="15" numFmtId="0" xfId="0" applyAlignment="1" applyBorder="1" applyFont="1">
      <alignment horizontal="center" shrinkToFit="0" vertical="center" wrapText="1"/>
    </xf>
    <xf borderId="41" fillId="5" fontId="6" numFmtId="2" xfId="0" applyAlignment="1" applyBorder="1" applyFont="1" applyNumberForma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shrinkToFit="0" vertical="center" wrapText="1"/>
    </xf>
    <xf borderId="42" fillId="0" fontId="6" numFmtId="2" xfId="0" applyAlignment="1" applyBorder="1" applyFont="1" applyNumberFormat="1">
      <alignment horizontal="center" shrinkToFit="0" vertical="center" wrapText="1"/>
    </xf>
    <xf borderId="43" fillId="5" fontId="1" numFmtId="0" xfId="0" applyAlignment="1" applyBorder="1" applyFont="1">
      <alignment horizontal="center" shrinkToFit="0" vertical="center" wrapText="1"/>
    </xf>
    <xf borderId="43" fillId="5" fontId="6" numFmtId="0" xfId="0" applyAlignment="1" applyBorder="1" applyFont="1">
      <alignment horizontal="center" shrinkToFit="0" vertical="center" wrapText="1"/>
    </xf>
    <xf borderId="43" fillId="5" fontId="6" numFmtId="2" xfId="0" applyAlignment="1" applyBorder="1" applyFont="1" applyNumberFormat="1">
      <alignment horizontal="center" shrinkToFit="0" vertical="center" wrapText="1"/>
    </xf>
    <xf borderId="20" fillId="5" fontId="1" numFmtId="0" xfId="0" applyAlignment="1" applyBorder="1" applyFont="1">
      <alignment horizontal="center" shrinkToFit="0" vertical="center" wrapText="1"/>
    </xf>
    <xf borderId="20" fillId="5" fontId="6" numFmtId="0" xfId="0" applyAlignment="1" applyBorder="1" applyFont="1">
      <alignment horizontal="center" shrinkToFit="0" vertical="center" wrapText="1"/>
    </xf>
    <xf borderId="20" fillId="5" fontId="6" numFmtId="2" xfId="0" applyAlignment="1" applyBorder="1" applyFont="1" applyNumberFormat="1">
      <alignment horizontal="center" shrinkToFit="0" vertical="center" wrapText="1"/>
    </xf>
    <xf borderId="44" fillId="5" fontId="8" numFmtId="2" xfId="0" applyBorder="1" applyFont="1" applyNumberFormat="1"/>
    <xf borderId="0" fillId="0" fontId="1" numFmtId="9" xfId="0" applyFont="1" applyNumberFormat="1"/>
    <xf borderId="45" fillId="5" fontId="8" numFmtId="9" xfId="0" applyBorder="1" applyFont="1" applyNumberFormat="1"/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Yu Gothic"/>
              </a:defRPr>
            </a:pPr>
            <a:r>
              <a:rPr b="0" i="0" sz="1400">
                <a:solidFill>
                  <a:srgbClr val="757575"/>
                </a:solidFill>
                <a:latin typeface="Yu Gothic"/>
              </a:rPr>
              <a:t>Payback simples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Payback!$C$16:$C$46</c:f>
            </c:strRef>
          </c:cat>
          <c:val>
            <c:numRef>
              <c:f>Payback!$J$16:$J$46</c:f>
              <c:numCache/>
            </c:numRef>
          </c:val>
        </c:ser>
        <c:axId val="684228144"/>
        <c:axId val="899299529"/>
      </c:barChart>
      <c:catAx>
        <c:axId val="68422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Yu Gothic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Yu Gothic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3"/>
              <c:y val="0.1442221624735932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Yu Gothic"/>
              </a:defRPr>
            </a:pPr>
          </a:p>
        </c:txPr>
        <c:crossAx val="899299529"/>
      </c:catAx>
      <c:valAx>
        <c:axId val="899299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Yu Gothic"/>
              </a:defRPr>
            </a:pPr>
          </a:p>
        </c:txPr>
        <c:crossAx val="684228144"/>
      </c:valAx>
    </c:plotArea>
    <c:legend>
      <c:legendPos val="b"/>
      <c:legendEntry>
        <c:idx val="0"/>
        <c:txPr>
          <a:bodyPr/>
          <a:lstStyle/>
          <a:p>
            <a:pPr lvl="0">
              <a:defRPr b="0" i="0" sz="1200">
                <a:latin typeface="Yu Gothic"/>
              </a:defRPr>
            </a:pPr>
          </a:p>
        </c:txPr>
      </c:legendEntry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Yu Gothic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Yu Gothic"/>
              </a:defRPr>
            </a:pPr>
            <a:r>
              <a:rPr b="0" i="0" sz="1400">
                <a:solidFill>
                  <a:srgbClr val="757575"/>
                </a:solidFill>
                <a:latin typeface="Yu Gothic"/>
              </a:rPr>
              <a:t>Payback descontado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Payback!$C$16:$C$46</c:f>
            </c:strRef>
          </c:cat>
          <c:val>
            <c:numRef>
              <c:f>Payback!$L$16:$L$46</c:f>
              <c:numCache/>
            </c:numRef>
          </c:val>
        </c:ser>
        <c:axId val="123048650"/>
        <c:axId val="666242968"/>
      </c:barChart>
      <c:catAx>
        <c:axId val="123048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Yu Gothic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Yu Gothic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9"/>
              <c:y val="0.1742697118491327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Yu Gothic"/>
              </a:defRPr>
            </a:pPr>
          </a:p>
        </c:txPr>
        <c:crossAx val="666242968"/>
      </c:catAx>
      <c:valAx>
        <c:axId val="666242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Yu Gothic"/>
              </a:defRPr>
            </a:pPr>
          </a:p>
        </c:txPr>
        <c:crossAx val="1230486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Yu Gothic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390525</xdr:colOff>
      <xdr:row>14</xdr:row>
      <xdr:rowOff>0</xdr:rowOff>
    </xdr:from>
    <xdr:ext cx="8705850" cy="6410325"/>
    <xdr:graphicFrame>
      <xdr:nvGraphicFramePr>
        <xdr:cNvPr id="15942893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352425</xdr:colOff>
      <xdr:row>44</xdr:row>
      <xdr:rowOff>95250</xdr:rowOff>
    </xdr:from>
    <xdr:ext cx="8772525" cy="5819775"/>
    <xdr:graphicFrame>
      <xdr:nvGraphicFramePr>
        <xdr:cNvPr id="135310327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relatorios.aneel.gov.br/luznatarifa/basestarifas" TargetMode="External"/><Relationship Id="rId2" Type="http://schemas.openxmlformats.org/officeDocument/2006/relationships/hyperlink" Target="https://institutosolar.com/como-calcular-o-valor-do-fio-b-para-energia-solar/" TargetMode="External"/><Relationship Id="rId3" Type="http://schemas.openxmlformats.org/officeDocument/2006/relationships/hyperlink" Target="http://portalsolar.com.b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7" width="11.63"/>
    <col customWidth="1" min="8" max="8" width="13.13"/>
    <col customWidth="1" min="9" max="26" width="8.63"/>
  </cols>
  <sheetData>
    <row r="1" ht="14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10" t="s">
        <v>2</v>
      </c>
      <c r="D5" s="4"/>
      <c r="E5" s="4"/>
      <c r="F5" s="4"/>
      <c r="G5" s="11" t="s">
        <v>3</v>
      </c>
      <c r="H5" s="12" t="s">
        <v>4</v>
      </c>
      <c r="I5" s="13"/>
      <c r="J5" s="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5" t="s">
        <v>5</v>
      </c>
      <c r="B6" s="2"/>
      <c r="C6" s="2"/>
      <c r="D6" s="2"/>
      <c r="E6" s="2"/>
      <c r="F6" s="3"/>
      <c r="G6" s="4"/>
      <c r="H6" s="12" t="s">
        <v>6</v>
      </c>
      <c r="I6" s="16"/>
      <c r="J6" s="1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 t="s">
        <v>7</v>
      </c>
      <c r="B7" s="19"/>
      <c r="C7" s="19"/>
      <c r="D7" s="19"/>
      <c r="E7" s="20" t="s">
        <v>8</v>
      </c>
      <c r="F7" s="21"/>
      <c r="G7" s="22" t="s">
        <v>9</v>
      </c>
      <c r="H7" s="23"/>
      <c r="I7" s="23"/>
      <c r="J7" s="23"/>
      <c r="K7" s="4"/>
      <c r="L7" s="24" t="s">
        <v>10</v>
      </c>
      <c r="M7" s="25"/>
      <c r="N7" s="2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11</v>
      </c>
      <c r="B8" s="19"/>
      <c r="C8" s="19"/>
      <c r="D8" s="19"/>
      <c r="E8" s="27" t="s">
        <v>12</v>
      </c>
      <c r="F8" s="10"/>
      <c r="G8" s="4"/>
      <c r="H8" s="23"/>
      <c r="I8" s="23"/>
      <c r="J8" s="23"/>
      <c r="K8" s="4"/>
      <c r="L8" s="28" t="s">
        <v>13</v>
      </c>
      <c r="M8" s="29"/>
      <c r="N8" s="3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1" t="s">
        <v>14</v>
      </c>
      <c r="B9" s="32"/>
      <c r="C9" s="32"/>
      <c r="D9" s="33"/>
      <c r="E9" s="34" t="s">
        <v>15</v>
      </c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35" t="s">
        <v>16</v>
      </c>
      <c r="B10" s="16"/>
      <c r="C10" s="16"/>
      <c r="D10" s="36"/>
      <c r="E10" s="20">
        <v>5.0</v>
      </c>
      <c r="F10" s="37" t="s">
        <v>17</v>
      </c>
      <c r="G10" s="38"/>
      <c r="H10" s="39" t="s">
        <v>18</v>
      </c>
      <c r="I10" s="40"/>
      <c r="J10" s="41"/>
      <c r="K10" s="42" t="s">
        <v>19</v>
      </c>
      <c r="L10" s="25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5" t="s">
        <v>20</v>
      </c>
      <c r="B11" s="16"/>
      <c r="C11" s="16"/>
      <c r="D11" s="36"/>
      <c r="E11" s="20">
        <v>23.0</v>
      </c>
      <c r="F11" s="43" t="s">
        <v>21</v>
      </c>
      <c r="J11" s="38"/>
      <c r="K11" s="44" t="s">
        <v>22</v>
      </c>
      <c r="L11" s="2"/>
      <c r="M11" s="4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5" t="s">
        <v>23</v>
      </c>
      <c r="B12" s="16"/>
      <c r="C12" s="16"/>
      <c r="D12" s="36"/>
      <c r="E12" s="20">
        <v>48.0</v>
      </c>
      <c r="F12" s="46" t="s">
        <v>24</v>
      </c>
      <c r="J12" s="38"/>
      <c r="K12" s="47" t="s">
        <v>25</v>
      </c>
      <c r="L12" s="29"/>
      <c r="M12" s="3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35" t="s">
        <v>26</v>
      </c>
      <c r="B13" s="16"/>
      <c r="C13" s="16"/>
      <c r="D13" s="36"/>
      <c r="E13" s="20">
        <v>5.21</v>
      </c>
      <c r="F13" s="48" t="s">
        <v>27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35" t="s">
        <v>28</v>
      </c>
      <c r="B14" s="16"/>
      <c r="C14" s="16"/>
      <c r="D14" s="36"/>
      <c r="E14" s="20">
        <v>0.44925</v>
      </c>
      <c r="F14" s="10" t="s">
        <v>29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35" t="s">
        <v>30</v>
      </c>
      <c r="B15" s="16"/>
      <c r="C15" s="16"/>
      <c r="D15" s="36"/>
      <c r="E15" s="20">
        <v>0.2902</v>
      </c>
      <c r="F15" s="10" t="s">
        <v>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5" t="s">
        <v>32</v>
      </c>
      <c r="B16" s="49"/>
      <c r="C16" s="49"/>
      <c r="D16" s="49"/>
      <c r="E16" s="20"/>
      <c r="F16" s="50" t="s">
        <v>33</v>
      </c>
      <c r="G16" s="50"/>
      <c r="H16" s="50"/>
      <c r="I16" s="50"/>
      <c r="J16" s="5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5" t="s">
        <v>34</v>
      </c>
      <c r="B17" s="49"/>
      <c r="C17" s="49"/>
      <c r="D17" s="49"/>
      <c r="E17" s="20"/>
      <c r="F17" s="51" t="s">
        <v>35</v>
      </c>
      <c r="G17" s="22"/>
      <c r="H17" s="22"/>
      <c r="I17" s="22"/>
      <c r="J17" s="52" t="s">
        <v>36</v>
      </c>
      <c r="Z17" s="4"/>
    </row>
    <row r="18" ht="14.25" customHeight="1">
      <c r="A18" s="35" t="s">
        <v>37</v>
      </c>
      <c r="B18" s="49"/>
      <c r="C18" s="49"/>
      <c r="D18" s="49"/>
      <c r="E18" s="20"/>
      <c r="F18" s="22" t="s">
        <v>38</v>
      </c>
      <c r="G18" s="22"/>
      <c r="H18" s="22"/>
      <c r="I18" s="2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4"/>
    </row>
    <row r="19" ht="14.25" customHeight="1">
      <c r="A19" s="35" t="s">
        <v>39</v>
      </c>
      <c r="B19" s="49"/>
      <c r="C19" s="49"/>
      <c r="D19" s="49"/>
      <c r="E19" s="20"/>
      <c r="F19" s="53"/>
      <c r="G19" s="22"/>
      <c r="H19" s="22"/>
      <c r="I19" s="2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4"/>
    </row>
    <row r="20" ht="14.25" customHeight="1">
      <c r="A20" s="35" t="s">
        <v>40</v>
      </c>
      <c r="B20" s="49"/>
      <c r="C20" s="49"/>
      <c r="D20" s="49"/>
      <c r="E20" s="20"/>
      <c r="F20" s="52"/>
      <c r="G20" s="50"/>
      <c r="H20" s="50"/>
      <c r="I20" s="50"/>
      <c r="J20" s="5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5" t="s">
        <v>41</v>
      </c>
      <c r="B21" s="16"/>
      <c r="C21" s="16"/>
      <c r="D21" s="36"/>
      <c r="E21" s="54"/>
      <c r="F21" s="55" t="s">
        <v>42</v>
      </c>
      <c r="R21" s="22"/>
      <c r="S21" s="22"/>
      <c r="T21" s="22"/>
      <c r="U21" s="22"/>
      <c r="V21" s="22"/>
      <c r="W21" s="4"/>
      <c r="X21" s="4"/>
      <c r="Y21" s="4"/>
      <c r="Z21" s="4"/>
    </row>
    <row r="22" ht="14.25" customHeight="1">
      <c r="A22" s="35" t="s">
        <v>43</v>
      </c>
      <c r="B22" s="16"/>
      <c r="C22" s="16"/>
      <c r="D22" s="13"/>
      <c r="E22" s="56">
        <v>0.9</v>
      </c>
      <c r="F22" s="22" t="s">
        <v>44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35" t="s">
        <v>45</v>
      </c>
      <c r="B23" s="16"/>
      <c r="C23" s="16"/>
      <c r="D23" s="36"/>
      <c r="E23" s="20">
        <v>641.0</v>
      </c>
      <c r="F23" s="10" t="s">
        <v>46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35" t="s">
        <v>47</v>
      </c>
      <c r="B24" s="16"/>
      <c r="C24" s="16"/>
      <c r="D24" s="36"/>
      <c r="E24" s="20">
        <v>0.8</v>
      </c>
      <c r="F24" s="10" t="s">
        <v>48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5" t="s">
        <v>49</v>
      </c>
      <c r="B25" s="16"/>
      <c r="C25" s="16"/>
      <c r="D25" s="36"/>
      <c r="E25" s="20">
        <v>550.0</v>
      </c>
      <c r="F25" s="10" t="s">
        <v>50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5" t="s">
        <v>51</v>
      </c>
      <c r="B26" s="16"/>
      <c r="C26" s="16"/>
      <c r="D26" s="36"/>
      <c r="E26" s="57">
        <v>1.1</v>
      </c>
      <c r="F26" s="10" t="s">
        <v>52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5" t="s">
        <v>53</v>
      </c>
      <c r="B27" s="16"/>
      <c r="C27" s="16"/>
      <c r="D27" s="36"/>
      <c r="E27" s="20">
        <v>49.6</v>
      </c>
      <c r="F27" s="10" t="s">
        <v>54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8" t="s">
        <v>55</v>
      </c>
      <c r="B28" s="58"/>
      <c r="C28" s="58"/>
      <c r="D28" s="35"/>
      <c r="E28" s="20">
        <v>-0.0029</v>
      </c>
      <c r="F28" s="10" t="s">
        <v>56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5" t="s">
        <v>57</v>
      </c>
      <c r="B29" s="16"/>
      <c r="C29" s="16"/>
      <c r="D29" s="36"/>
      <c r="E29" s="20">
        <v>2.0</v>
      </c>
      <c r="F29" s="10" t="s">
        <v>58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5" t="s">
        <v>59</v>
      </c>
      <c r="B31" s="2"/>
      <c r="C31" s="2"/>
      <c r="D31" s="2"/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5" t="s">
        <v>60</v>
      </c>
      <c r="B32" s="16"/>
      <c r="C32" s="16"/>
      <c r="D32" s="36"/>
      <c r="E32" s="59">
        <f>E23</f>
        <v>641</v>
      </c>
      <c r="F32" s="10" t="s">
        <v>61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5" t="s">
        <v>62</v>
      </c>
      <c r="B33" s="16"/>
      <c r="C33" s="16"/>
      <c r="D33" s="36"/>
      <c r="E33" s="59">
        <f>(E14+E15)</f>
        <v>0.73945</v>
      </c>
      <c r="F33" s="10" t="s">
        <v>63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5" t="s">
        <v>64</v>
      </c>
      <c r="B34" s="16"/>
      <c r="C34" s="16"/>
      <c r="D34" s="36"/>
      <c r="E34" s="59">
        <f>$E$14+$E$15*(1-Payback!$E$13)</f>
        <v>0.65239</v>
      </c>
      <c r="F34" s="10" t="s">
        <v>63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5" t="s">
        <v>65</v>
      </c>
      <c r="B35" s="16"/>
      <c r="C35" s="16"/>
      <c r="D35" s="16"/>
      <c r="E35" s="59">
        <f>E16+E17</f>
        <v>0</v>
      </c>
      <c r="F35" s="10" t="s">
        <v>63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35" t="s">
        <v>66</v>
      </c>
      <c r="B36" s="16"/>
      <c r="C36" s="16"/>
      <c r="D36" s="13"/>
      <c r="E36" s="59">
        <f>$E$19+$E$18*(1-Payback!$E$13)</f>
        <v>0</v>
      </c>
      <c r="F36" s="10" t="s">
        <v>67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8" t="s">
        <v>68</v>
      </c>
      <c r="B37" s="58"/>
      <c r="C37" s="58"/>
      <c r="D37" s="35"/>
      <c r="E37" s="59">
        <f>E42/1000</f>
        <v>5</v>
      </c>
      <c r="F37" s="10" t="s">
        <v>69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35" t="s">
        <v>70</v>
      </c>
      <c r="B38" s="16"/>
      <c r="C38" s="16"/>
      <c r="D38" s="36"/>
      <c r="E38" s="60">
        <f>E32*1000/(30*E24*E13)</f>
        <v>5126.359565</v>
      </c>
      <c r="F38" s="61" t="s">
        <v>71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5" t="s">
        <v>72</v>
      </c>
      <c r="B39" s="16"/>
      <c r="C39" s="16"/>
      <c r="D39" s="36"/>
      <c r="E39" s="59">
        <f>ROUNDUP(E38/E25,0)</f>
        <v>10</v>
      </c>
      <c r="F39" s="10" t="s">
        <v>73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35" t="s">
        <v>74</v>
      </c>
      <c r="B40" s="16"/>
      <c r="C40" s="16"/>
      <c r="D40" s="36"/>
      <c r="E40" s="59">
        <f>ROUND(E39/E29,0)</f>
        <v>5</v>
      </c>
      <c r="F40" s="1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35" t="s">
        <v>75</v>
      </c>
      <c r="B41" s="16"/>
      <c r="C41" s="16"/>
      <c r="D41" s="36"/>
      <c r="E41" s="59">
        <f>E39*E25</f>
        <v>5500</v>
      </c>
      <c r="F41" s="10" t="s">
        <v>76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35" t="s">
        <v>77</v>
      </c>
      <c r="B42" s="16"/>
      <c r="C42" s="16"/>
      <c r="D42" s="36"/>
      <c r="E42" s="59">
        <f>E41/E26</f>
        <v>5000</v>
      </c>
      <c r="F42" s="22" t="s">
        <v>78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5" t="s">
        <v>79</v>
      </c>
      <c r="B43" s="16"/>
      <c r="C43" s="16"/>
      <c r="D43" s="36"/>
      <c r="E43" s="59">
        <f>30*E13*E24*E42/1000</f>
        <v>625.2</v>
      </c>
      <c r="F43" s="62" t="s">
        <v>80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5" t="s">
        <v>81</v>
      </c>
      <c r="B44" s="16"/>
      <c r="C44" s="16"/>
      <c r="D44" s="36"/>
      <c r="E44" s="59">
        <f>E27*(1+(E10-25)*E28)*E40</f>
        <v>262.384</v>
      </c>
      <c r="F44" s="10" t="s">
        <v>82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35" t="s">
        <v>83</v>
      </c>
      <c r="B45" s="16"/>
      <c r="C45" s="16"/>
      <c r="D45" s="36"/>
      <c r="E45" s="59">
        <f>IF(E11&lt;10,10,IF(E11&lt;=20,E11,IF(E11&lt;=30,E11+5,IF(E11&lt;=40,E11+10,E11+15))))</f>
        <v>28</v>
      </c>
      <c r="F45" s="10" t="s">
        <v>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63" t="s">
        <v>85</v>
      </c>
      <c r="B47" s="2"/>
      <c r="C47" s="2"/>
      <c r="D47" s="2"/>
      <c r="E47" s="2"/>
      <c r="F47" s="2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64" t="s">
        <v>86</v>
      </c>
      <c r="B48" s="2"/>
      <c r="C48" s="2"/>
      <c r="D48" s="3"/>
      <c r="E48" s="65" t="s">
        <v>87</v>
      </c>
      <c r="F48" s="65" t="s">
        <v>88</v>
      </c>
      <c r="G48" s="65" t="s">
        <v>89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66" t="s">
        <v>90</v>
      </c>
      <c r="B49" s="16"/>
      <c r="C49" s="16"/>
      <c r="D49" s="36"/>
      <c r="E49" s="67">
        <v>10.0</v>
      </c>
      <c r="F49" s="68"/>
      <c r="G49" s="69">
        <f t="shared" ref="G49:G64" si="1">E49*F49</f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66" t="s">
        <v>91</v>
      </c>
      <c r="B50" s="16"/>
      <c r="C50" s="16"/>
      <c r="D50" s="36"/>
      <c r="E50" s="67">
        <v>1.0</v>
      </c>
      <c r="F50" s="68"/>
      <c r="G50" s="6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70" t="s">
        <v>92</v>
      </c>
      <c r="B51" s="16"/>
      <c r="C51" s="16"/>
      <c r="D51" s="36"/>
      <c r="E51" s="67">
        <v>1.0</v>
      </c>
      <c r="F51" s="68"/>
      <c r="G51" s="6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70" t="s">
        <v>93</v>
      </c>
      <c r="B52" s="16"/>
      <c r="C52" s="16"/>
      <c r="D52" s="36"/>
      <c r="E52" s="67"/>
      <c r="F52" s="68"/>
      <c r="G52" s="6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70" t="s">
        <v>94</v>
      </c>
      <c r="B53" s="16"/>
      <c r="C53" s="16"/>
      <c r="D53" s="36"/>
      <c r="E53" s="67">
        <v>50.0</v>
      </c>
      <c r="F53" s="68"/>
      <c r="G53" s="69">
        <f t="shared" si="1"/>
        <v>0</v>
      </c>
      <c r="H53" s="62" t="s">
        <v>95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70" t="s">
        <v>94</v>
      </c>
      <c r="B54" s="16"/>
      <c r="C54" s="16"/>
      <c r="D54" s="36"/>
      <c r="E54" s="67">
        <v>50.0</v>
      </c>
      <c r="F54" s="68"/>
      <c r="G54" s="69">
        <f t="shared" si="1"/>
        <v>0</v>
      </c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66" t="s">
        <v>96</v>
      </c>
      <c r="B55" s="16"/>
      <c r="C55" s="16"/>
      <c r="D55" s="36"/>
      <c r="E55" s="67">
        <v>1.0</v>
      </c>
      <c r="F55" s="71">
        <v>14400.0</v>
      </c>
      <c r="G55" s="69">
        <f t="shared" si="1"/>
        <v>14400</v>
      </c>
      <c r="H55" s="72" t="s">
        <v>97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70" t="s">
        <v>98</v>
      </c>
      <c r="B56" s="16"/>
      <c r="C56" s="16"/>
      <c r="D56" s="36"/>
      <c r="E56" s="73"/>
      <c r="F56" s="68"/>
      <c r="G56" s="6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70" t="s">
        <v>99</v>
      </c>
      <c r="B57" s="16"/>
      <c r="C57" s="16"/>
      <c r="D57" s="36"/>
      <c r="E57" s="73"/>
      <c r="F57" s="68"/>
      <c r="G57" s="6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70" t="s">
        <v>100</v>
      </c>
      <c r="B58" s="16"/>
      <c r="C58" s="16"/>
      <c r="D58" s="36"/>
      <c r="E58" s="73"/>
      <c r="F58" s="68"/>
      <c r="G58" s="6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70" t="s">
        <v>101</v>
      </c>
      <c r="B59" s="16"/>
      <c r="C59" s="16"/>
      <c r="D59" s="36"/>
      <c r="E59" s="73"/>
      <c r="F59" s="68"/>
      <c r="G59" s="6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70" t="s">
        <v>102</v>
      </c>
      <c r="B60" s="16"/>
      <c r="C60" s="16"/>
      <c r="D60" s="36"/>
      <c r="E60" s="73"/>
      <c r="F60" s="68"/>
      <c r="G60" s="6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70" t="s">
        <v>103</v>
      </c>
      <c r="B61" s="16"/>
      <c r="C61" s="16"/>
      <c r="D61" s="36"/>
      <c r="E61" s="73"/>
      <c r="F61" s="68"/>
      <c r="G61" s="6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70" t="s">
        <v>104</v>
      </c>
      <c r="B62" s="16"/>
      <c r="C62" s="16"/>
      <c r="D62" s="36"/>
      <c r="E62" s="73"/>
      <c r="F62" s="68"/>
      <c r="G62" s="6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70" t="s">
        <v>105</v>
      </c>
      <c r="B63" s="16"/>
      <c r="C63" s="16"/>
      <c r="D63" s="36"/>
      <c r="E63" s="73"/>
      <c r="F63" s="68"/>
      <c r="G63" s="6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70" t="s">
        <v>106</v>
      </c>
      <c r="B64" s="16"/>
      <c r="C64" s="16"/>
      <c r="D64" s="36"/>
      <c r="E64" s="74"/>
      <c r="F64" s="75"/>
      <c r="G64" s="76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77" t="s">
        <v>107</v>
      </c>
      <c r="F65" s="78"/>
      <c r="G65" s="79">
        <f>SUM(G49:G64)</f>
        <v>14400</v>
      </c>
      <c r="H65" s="10" t="s">
        <v>108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77" t="s">
        <v>109</v>
      </c>
      <c r="F66" s="78"/>
      <c r="G66" s="80" t="s">
        <v>110</v>
      </c>
      <c r="H66" s="10" t="s">
        <v>111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77" t="s">
        <v>112</v>
      </c>
      <c r="F67" s="78"/>
      <c r="G67" s="57">
        <v>1.0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81" t="s">
        <v>113</v>
      </c>
      <c r="F69" s="82"/>
      <c r="G69" s="83">
        <f>IF(G67=1,G65,G66)</f>
        <v>14400</v>
      </c>
      <c r="H69" s="8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8.5" customHeight="1">
      <c r="A70" s="85"/>
      <c r="B70" s="85"/>
      <c r="C70" s="85"/>
      <c r="D70" s="85"/>
      <c r="E70" s="86" t="s">
        <v>114</v>
      </c>
      <c r="F70" s="82"/>
      <c r="G70" s="87">
        <f>0.1*G69</f>
        <v>1440</v>
      </c>
      <c r="H70" s="84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4.25" customHeight="1">
      <c r="A71" s="4"/>
      <c r="B71" s="4"/>
      <c r="C71" s="4"/>
      <c r="D71" s="4"/>
      <c r="E71" s="88" t="s">
        <v>115</v>
      </c>
      <c r="F71" s="89"/>
      <c r="G71" s="83">
        <v>2000.0</v>
      </c>
      <c r="H71" s="8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88" t="s">
        <v>116</v>
      </c>
      <c r="F72" s="89"/>
      <c r="G72" s="90">
        <v>4000.0</v>
      </c>
      <c r="H72" s="8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88" t="s">
        <v>117</v>
      </c>
      <c r="F73" s="89"/>
      <c r="G73" s="90">
        <v>0.0</v>
      </c>
      <c r="H73" s="8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88" t="s">
        <v>118</v>
      </c>
      <c r="F74" s="89"/>
      <c r="G74" s="90">
        <v>0.0</v>
      </c>
      <c r="H74" s="8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 t="s">
        <v>119</v>
      </c>
      <c r="B75" s="4"/>
      <c r="C75" s="4"/>
      <c r="D75" s="4"/>
      <c r="E75" s="4"/>
      <c r="F75" s="91" t="s">
        <v>120</v>
      </c>
      <c r="G75" s="92">
        <f>SUM(G69:G72)</f>
        <v>21840</v>
      </c>
      <c r="H75" s="8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93" t="s">
        <v>121</v>
      </c>
      <c r="B76" s="2"/>
      <c r="C76" s="2"/>
      <c r="D76" s="2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94" t="s">
        <v>122</v>
      </c>
      <c r="B77" s="4"/>
      <c r="C77" s="4"/>
      <c r="D77" s="95">
        <f>G75/E41</f>
        <v>3.970909091</v>
      </c>
      <c r="E77" s="96" t="s">
        <v>123</v>
      </c>
      <c r="F77" s="97" t="s">
        <v>124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 t="s">
        <v>125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 t="s">
        <v>126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98" t="s">
        <v>127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3">
    <mergeCell ref="A45:D45"/>
    <mergeCell ref="A47:G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E70:F70"/>
    <mergeCell ref="G70:H70"/>
    <mergeCell ref="G71:H71"/>
    <mergeCell ref="G72:H72"/>
    <mergeCell ref="G73:H73"/>
    <mergeCell ref="G74:H74"/>
    <mergeCell ref="G75:H75"/>
    <mergeCell ref="A76:E76"/>
    <mergeCell ref="A60:D60"/>
    <mergeCell ref="A61:D61"/>
    <mergeCell ref="A62:D62"/>
    <mergeCell ref="A63:D63"/>
    <mergeCell ref="A64:D64"/>
    <mergeCell ref="E69:F69"/>
    <mergeCell ref="G69:H69"/>
    <mergeCell ref="A1:E1"/>
    <mergeCell ref="H5:I5"/>
    <mergeCell ref="A6:F6"/>
    <mergeCell ref="H6:I6"/>
    <mergeCell ref="L7:N7"/>
    <mergeCell ref="L8:N8"/>
    <mergeCell ref="A9:D9"/>
    <mergeCell ref="F12:J12"/>
    <mergeCell ref="K12:M12"/>
    <mergeCell ref="A10:D10"/>
    <mergeCell ref="F10:G10"/>
    <mergeCell ref="K10:M10"/>
    <mergeCell ref="A11:D11"/>
    <mergeCell ref="F11:J11"/>
    <mergeCell ref="K11:M11"/>
    <mergeCell ref="A12:D12"/>
    <mergeCell ref="A13:D13"/>
    <mergeCell ref="F13:J13"/>
    <mergeCell ref="A14:D14"/>
    <mergeCell ref="A15:D15"/>
    <mergeCell ref="J17:Y17"/>
    <mergeCell ref="A21:D21"/>
    <mergeCell ref="F21:Q21"/>
    <mergeCell ref="A22:D22"/>
    <mergeCell ref="A23:D23"/>
    <mergeCell ref="A24:D24"/>
    <mergeCell ref="A25:D25"/>
    <mergeCell ref="A26:D26"/>
    <mergeCell ref="A27:D27"/>
    <mergeCell ref="A29:D29"/>
    <mergeCell ref="A31:F31"/>
    <mergeCell ref="A32:D32"/>
    <mergeCell ref="A33:D33"/>
    <mergeCell ref="A34:D34"/>
    <mergeCell ref="A35:D35"/>
    <mergeCell ref="A36:D36"/>
    <mergeCell ref="F38:J38"/>
    <mergeCell ref="A38:D38"/>
    <mergeCell ref="A39:D39"/>
    <mergeCell ref="A40:D40"/>
    <mergeCell ref="A41:D41"/>
    <mergeCell ref="A42:D42"/>
    <mergeCell ref="A43:D43"/>
    <mergeCell ref="A44:D44"/>
  </mergeCells>
  <hyperlinks>
    <hyperlink r:id="rId1" ref="F17"/>
    <hyperlink r:id="rId2" location=":~:text=Para%20se%20obter%20o%20valor,Tarifas%20%3E%3E%20Relat%C3%B3rios%20e%20Indicadores." ref="F21"/>
    <hyperlink r:id="rId3" ref="H55"/>
  </hyperlinks>
  <printOptions/>
  <pageMargins bottom="0.787401575" footer="0.0" header="0.0" left="0.511811024" right="0.511811024" top="0.7874015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1.63"/>
    <col customWidth="1" min="15" max="15" width="13.13"/>
    <col customWidth="1" min="16" max="26" width="11.63"/>
  </cols>
  <sheetData>
    <row r="1" ht="20.25" customHeight="1">
      <c r="A1" s="4"/>
      <c r="B1" s="99" t="s">
        <v>128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12" t="s">
        <v>4</v>
      </c>
      <c r="H2" s="13"/>
      <c r="I2" s="14"/>
      <c r="J2" s="4"/>
      <c r="K2" s="4"/>
      <c r="L2" s="4"/>
      <c r="M2" s="4"/>
      <c r="N2" s="4"/>
      <c r="O2" s="100" t="s">
        <v>129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100" t="s">
        <v>130</v>
      </c>
      <c r="C3" s="4"/>
      <c r="D3" s="4"/>
      <c r="E3" s="100" t="s">
        <v>131</v>
      </c>
      <c r="F3" s="4"/>
      <c r="G3" s="12" t="s">
        <v>6</v>
      </c>
      <c r="H3" s="16"/>
      <c r="I3" s="17"/>
      <c r="J3" s="4"/>
      <c r="K3" s="4"/>
      <c r="L3" s="4"/>
      <c r="M3" s="4"/>
      <c r="N3" s="4"/>
      <c r="O3" s="101" t="s">
        <v>132</v>
      </c>
      <c r="P3" s="102">
        <f>IF(Dimensionamento!$E$7="A",Dimensionamento!$E$17,Dimensionamento!$E$15)</f>
        <v>0.2902</v>
      </c>
      <c r="Q3" s="103" t="s">
        <v>133</v>
      </c>
      <c r="R3" s="104" t="str">
        <f>Dimensionamento!$E$19</f>
        <v/>
      </c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105" t="s">
        <v>134</v>
      </c>
      <c r="C4" s="16"/>
      <c r="D4" s="13"/>
      <c r="E4" s="106">
        <v>0.075</v>
      </c>
      <c r="F4" s="107" t="s">
        <v>135</v>
      </c>
      <c r="G4" s="4"/>
      <c r="H4" s="107" t="s">
        <v>136</v>
      </c>
      <c r="I4" s="4"/>
      <c r="J4" s="4"/>
      <c r="K4" s="4"/>
      <c r="L4" s="4"/>
      <c r="M4" s="4"/>
      <c r="N4" s="4"/>
      <c r="O4" s="101" t="s">
        <v>137</v>
      </c>
      <c r="P4" s="104">
        <f>IF(Dimensionamento!$E$7="A",Dimensionamento!$E$16,Dimensionamento!$E$14)</f>
        <v>0.44925</v>
      </c>
      <c r="Q4" s="103" t="s">
        <v>138</v>
      </c>
      <c r="R4" s="104" t="str">
        <f>Dimensionamento!$E$18</f>
        <v/>
      </c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108" t="s">
        <v>139</v>
      </c>
      <c r="C5" s="16"/>
      <c r="D5" s="13"/>
      <c r="E5" s="109">
        <v>0.3</v>
      </c>
      <c r="F5" s="107" t="s">
        <v>140</v>
      </c>
      <c r="G5" s="4"/>
      <c r="H5" s="4"/>
      <c r="I5" s="4"/>
      <c r="J5" s="4"/>
      <c r="K5" s="4"/>
      <c r="L5" s="4"/>
      <c r="M5" s="4"/>
      <c r="N5" s="4"/>
      <c r="O5" s="101" t="s">
        <v>141</v>
      </c>
      <c r="P5" s="110" t="str">
        <f>Dimensionamento!E21</f>
        <v/>
      </c>
      <c r="Q5" s="111" t="s">
        <v>142</v>
      </c>
      <c r="R5" s="111"/>
      <c r="S5" s="4"/>
      <c r="T5" s="4"/>
      <c r="U5" s="4"/>
      <c r="V5" s="4"/>
      <c r="W5" s="4"/>
      <c r="X5" s="4"/>
      <c r="Y5" s="4"/>
      <c r="Z5" s="4"/>
    </row>
    <row r="6">
      <c r="A6" s="4"/>
      <c r="B6" s="105" t="s">
        <v>143</v>
      </c>
      <c r="C6" s="16"/>
      <c r="D6" s="13"/>
      <c r="E6" s="109">
        <v>0.1</v>
      </c>
      <c r="F6" s="107" t="s">
        <v>135</v>
      </c>
      <c r="G6" s="4"/>
      <c r="H6" s="107" t="s">
        <v>144</v>
      </c>
      <c r="I6" s="4"/>
      <c r="J6" s="4"/>
      <c r="K6" s="4"/>
      <c r="L6" s="4"/>
      <c r="M6" s="4"/>
      <c r="N6" s="4"/>
      <c r="O6" s="101" t="s">
        <v>145</v>
      </c>
      <c r="P6" s="112">
        <f>Dimensionamento!$E$22</f>
        <v>0.9</v>
      </c>
      <c r="Q6" s="107" t="s">
        <v>146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113" t="s">
        <v>147</v>
      </c>
      <c r="C7" s="16"/>
      <c r="D7" s="13"/>
      <c r="E7" s="114">
        <v>15.0</v>
      </c>
      <c r="F7" s="107" t="s">
        <v>148</v>
      </c>
      <c r="G7" s="4"/>
      <c r="H7" s="107" t="s">
        <v>149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13" t="s">
        <v>150</v>
      </c>
      <c r="C8" s="16"/>
      <c r="D8" s="13"/>
      <c r="E8" s="109">
        <v>0.01</v>
      </c>
      <c r="F8" s="115" t="s">
        <v>151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05" t="s">
        <v>152</v>
      </c>
      <c r="C9" s="16"/>
      <c r="D9" s="13"/>
      <c r="E9" s="109">
        <v>0.7</v>
      </c>
      <c r="F9" s="116" t="s">
        <v>153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05" t="s">
        <v>154</v>
      </c>
      <c r="C10" s="16"/>
      <c r="D10" s="13"/>
      <c r="E10" s="117">
        <v>0.02</v>
      </c>
      <c r="F10" s="107" t="s">
        <v>155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05" t="s">
        <v>156</v>
      </c>
      <c r="C11" s="16"/>
      <c r="D11" s="13"/>
      <c r="E11" s="117">
        <v>0.008</v>
      </c>
      <c r="F11" s="107" t="s">
        <v>157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101" t="s">
        <v>158</v>
      </c>
      <c r="C12" s="118"/>
      <c r="D12" s="118"/>
      <c r="E12" s="114">
        <v>2.0</v>
      </c>
      <c r="F12" s="107" t="s">
        <v>159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108" t="s">
        <v>160</v>
      </c>
      <c r="C13" s="16"/>
      <c r="D13" s="13"/>
      <c r="E13" s="109">
        <v>0.3</v>
      </c>
      <c r="F13" s="107" t="s">
        <v>161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0" customHeight="1">
      <c r="A14" s="4"/>
      <c r="B14" s="4"/>
      <c r="C14" s="4"/>
      <c r="D14" s="4"/>
      <c r="E14" s="4"/>
      <c r="F14" s="4"/>
      <c r="G14" s="4"/>
      <c r="H14" s="4"/>
      <c r="I14" s="4"/>
      <c r="J14" s="119" t="s">
        <v>162</v>
      </c>
      <c r="K14" s="4"/>
      <c r="L14" s="120" t="s">
        <v>163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4.75" customHeight="1">
      <c r="A15" s="4"/>
      <c r="B15" s="4"/>
      <c r="C15" s="121" t="s">
        <v>164</v>
      </c>
      <c r="D15" s="121" t="s">
        <v>165</v>
      </c>
      <c r="E15" s="121" t="s">
        <v>166</v>
      </c>
      <c r="F15" s="121" t="s">
        <v>167</v>
      </c>
      <c r="G15" s="121" t="s">
        <v>168</v>
      </c>
      <c r="H15" s="121" t="s">
        <v>169</v>
      </c>
      <c r="I15" s="121" t="s">
        <v>170</v>
      </c>
      <c r="J15" s="121" t="s">
        <v>171</v>
      </c>
      <c r="K15" s="121" t="s">
        <v>172</v>
      </c>
      <c r="L15" s="121" t="s">
        <v>173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122">
        <v>0.0</v>
      </c>
      <c r="D16" s="123"/>
      <c r="E16" s="123"/>
      <c r="F16" s="123"/>
      <c r="G16" s="123"/>
      <c r="H16" s="123"/>
      <c r="I16" s="124">
        <f>-Dimensionamento!G75</f>
        <v>-21840</v>
      </c>
      <c r="J16" s="124">
        <f>I16</f>
        <v>-21840</v>
      </c>
      <c r="K16" s="124">
        <f>I16</f>
        <v>-21840</v>
      </c>
      <c r="L16" s="124">
        <f>I16</f>
        <v>-21840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125">
        <v>1.0</v>
      </c>
      <c r="D17" s="126">
        <f>Dimensionamento!E43*12</f>
        <v>7502.4</v>
      </c>
      <c r="E17" s="126">
        <f>P3+P4</f>
        <v>0.73945</v>
      </c>
      <c r="F17" s="126">
        <f>IF(Dimensionamento!$E$7="A", IF($E$12=1, $R$3, IF($E$12=2, $R$3+$R$4*(1-$E$13), $R$3+$R$4)), IF($E$12=1, $P$3, IF($E$12=2, $P$3+$P$4*(1-$E$13), $P$3+$P$4)))</f>
        <v>0.604675</v>
      </c>
      <c r="G17" s="127">
        <f t="shared" ref="G17:G46" si="2">(E17*$E$5+(1-$E$5)*F17)*D17</f>
        <v>4839.854508</v>
      </c>
      <c r="H17" s="127">
        <f t="shared" ref="H17:H46" si="3">IF(OR(C17=$E$7,C17=2*$E$7),G17*($E$8+$E$9),G17*$E$8)</f>
        <v>48.39854508</v>
      </c>
      <c r="I17" s="127">
        <f>G17-H17- IF(Dimensionamento!$E$7="A", Dimensionamento!$E$37*Dimensionamento!$E$20*12, 0)</f>
        <v>4791.455963</v>
      </c>
      <c r="J17" s="127">
        <f t="shared" ref="J17:J46" si="4">J16+I17</f>
        <v>-17048.54404</v>
      </c>
      <c r="K17" s="127">
        <f t="shared" ref="K17:K46" si="5">I17/(1+$E$6)^C17</f>
        <v>4355.869057</v>
      </c>
      <c r="L17" s="127">
        <f t="shared" ref="L17:L46" si="6">L16+K17</f>
        <v>-17484.13094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128">
        <v>2.0</v>
      </c>
      <c r="D18" s="129">
        <f>Dimensionamento!$E$43*12*(1-$E$10)</f>
        <v>7352.352</v>
      </c>
      <c r="E18" s="129">
        <f t="shared" ref="E18:F18" si="1">E17*(1+$E$4)</f>
        <v>0.79490875</v>
      </c>
      <c r="F18" s="129">
        <f t="shared" si="1"/>
        <v>0.650025625</v>
      </c>
      <c r="G18" s="130">
        <f t="shared" si="2"/>
        <v>5098.786724</v>
      </c>
      <c r="H18" s="130">
        <f t="shared" si="3"/>
        <v>50.98786724</v>
      </c>
      <c r="I18" s="130">
        <f>G18-H18- IF(Dimensionamento!$E$7="A", Dimensionamento!$E$37*Dimensionamento!$E$20*12, 0)</f>
        <v>5047.798857</v>
      </c>
      <c r="J18" s="130">
        <f t="shared" si="4"/>
        <v>-12000.74518</v>
      </c>
      <c r="K18" s="130">
        <f t="shared" si="5"/>
        <v>4171.734593</v>
      </c>
      <c r="L18" s="130">
        <f t="shared" si="6"/>
        <v>-13312.39635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125">
        <v>3.0</v>
      </c>
      <c r="D19" s="126">
        <f>Dimensionamento!$E$43*12*(1-$E$10-(C19-2)*$E$11)</f>
        <v>7292.3328</v>
      </c>
      <c r="E19" s="126">
        <f t="shared" ref="E19:F19" si="7">E18*(1+$E$4)</f>
        <v>0.8545269063</v>
      </c>
      <c r="F19" s="126">
        <f t="shared" si="7"/>
        <v>0.6987775469</v>
      </c>
      <c r="G19" s="127">
        <f t="shared" si="2"/>
        <v>5436.451274</v>
      </c>
      <c r="H19" s="127">
        <f t="shared" si="3"/>
        <v>54.36451274</v>
      </c>
      <c r="I19" s="127">
        <f>G19-H19- IF(Dimensionamento!$E$7="A", Dimensionamento!$E$37*Dimensionamento!$E$20*12, 0)</f>
        <v>5382.086761</v>
      </c>
      <c r="J19" s="127">
        <f t="shared" si="4"/>
        <v>-6618.658419</v>
      </c>
      <c r="K19" s="127">
        <f t="shared" si="5"/>
        <v>4043.641443</v>
      </c>
      <c r="L19" s="127">
        <f t="shared" si="6"/>
        <v>-9268.754907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128">
        <v>4.0</v>
      </c>
      <c r="D20" s="129">
        <f>Dimensionamento!$E$43*12*(1-$E$10-(C20-2)*$E$11)</f>
        <v>7232.3136</v>
      </c>
      <c r="E20" s="129">
        <f t="shared" ref="E20:F20" si="8">E19*(1+$E$4)</f>
        <v>0.9186164242</v>
      </c>
      <c r="F20" s="129">
        <f t="shared" si="8"/>
        <v>0.7511858629</v>
      </c>
      <c r="G20" s="130">
        <f t="shared" si="2"/>
        <v>5796.08483</v>
      </c>
      <c r="H20" s="130">
        <f t="shared" si="3"/>
        <v>57.9608483</v>
      </c>
      <c r="I20" s="130">
        <f>G20-H20- IF(Dimensionamento!$E$7="A", Dimensionamento!$E$37*Dimensionamento!$E$20*12, 0)</f>
        <v>5738.123982</v>
      </c>
      <c r="J20" s="130">
        <f t="shared" si="4"/>
        <v>-880.5344376</v>
      </c>
      <c r="K20" s="130">
        <f t="shared" si="5"/>
        <v>3919.215888</v>
      </c>
      <c r="L20" s="130">
        <f t="shared" si="6"/>
        <v>-5349.539019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"/>
      <c r="B21" s="4"/>
      <c r="C21" s="125">
        <v>5.0</v>
      </c>
      <c r="D21" s="126">
        <f>Dimensionamento!$E$43*12*(1-$E$10-(C21-2)*$E$11)</f>
        <v>7172.2944</v>
      </c>
      <c r="E21" s="126">
        <f t="shared" ref="E21:F21" si="9">E20*(1+$E$4)</f>
        <v>0.987512656</v>
      </c>
      <c r="F21" s="126">
        <f t="shared" si="9"/>
        <v>0.8075248026</v>
      </c>
      <c r="G21" s="127">
        <f t="shared" si="2"/>
        <v>6179.083382</v>
      </c>
      <c r="H21" s="127">
        <f t="shared" si="3"/>
        <v>61.79083382</v>
      </c>
      <c r="I21" s="127">
        <f>G21-H21- IF(Dimensionamento!$E$7="A", Dimensionamento!$E$37*Dimensionamento!$E$20*12, 0)</f>
        <v>6117.292548</v>
      </c>
      <c r="J21" s="127">
        <f t="shared" si="4"/>
        <v>5236.75811</v>
      </c>
      <c r="K21" s="127">
        <f t="shared" si="5"/>
        <v>3798.357382</v>
      </c>
      <c r="L21" s="127">
        <f t="shared" si="6"/>
        <v>-1551.181637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"/>
      <c r="B22" s="4"/>
      <c r="C22" s="128">
        <v>6.0</v>
      </c>
      <c r="D22" s="129">
        <f>Dimensionamento!$E$43*12*(1-$E$10-(C22-2)*$E$11)</f>
        <v>7112.2752</v>
      </c>
      <c r="E22" s="129">
        <f t="shared" ref="E22:F22" si="10">E21*(1+$E$4)</f>
        <v>1.061576105</v>
      </c>
      <c r="F22" s="129">
        <f t="shared" si="10"/>
        <v>0.8680891628</v>
      </c>
      <c r="G22" s="130">
        <f t="shared" si="2"/>
        <v>6586.928739</v>
      </c>
      <c r="H22" s="130">
        <f t="shared" si="3"/>
        <v>65.86928739</v>
      </c>
      <c r="I22" s="130">
        <f>G22-H22- IF(Dimensionamento!$E$7="A", Dimensionamento!$E$37*Dimensionamento!$E$20*12, 0)</f>
        <v>6521.059451</v>
      </c>
      <c r="J22" s="130">
        <f t="shared" si="4"/>
        <v>11757.81756</v>
      </c>
      <c r="K22" s="130">
        <f t="shared" si="5"/>
        <v>3680.968057</v>
      </c>
      <c r="L22" s="130">
        <f t="shared" si="6"/>
        <v>2129.78642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"/>
      <c r="B23" s="4"/>
      <c r="C23" s="125">
        <v>7.0</v>
      </c>
      <c r="D23" s="126">
        <f>Dimensionamento!$E$43*12*(1-$E$10-(C23-2)*$E$11)</f>
        <v>7052.256</v>
      </c>
      <c r="E23" s="126">
        <f t="shared" ref="E23:F23" si="11">E22*(1+$E$4)</f>
        <v>1.141194313</v>
      </c>
      <c r="F23" s="126">
        <f t="shared" si="11"/>
        <v>0.93319585</v>
      </c>
      <c r="G23" s="127">
        <f t="shared" si="2"/>
        <v>7021.193555</v>
      </c>
      <c r="H23" s="127">
        <f t="shared" si="3"/>
        <v>70.21193555</v>
      </c>
      <c r="I23" s="127">
        <f>G23-H23- IF(Dimensionamento!$E$7="A", Dimensionamento!$E$37*Dimensionamento!$E$20*12, 0)</f>
        <v>6950.98162</v>
      </c>
      <c r="J23" s="127">
        <f t="shared" si="4"/>
        <v>18708.79918</v>
      </c>
      <c r="K23" s="127">
        <f t="shared" si="5"/>
        <v>3566.952648</v>
      </c>
      <c r="L23" s="127">
        <f t="shared" si="6"/>
        <v>5696.739068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"/>
      <c r="B24" s="4"/>
      <c r="C24" s="128">
        <v>8.0</v>
      </c>
      <c r="D24" s="129">
        <f>Dimensionamento!$E$43*12*(1-$E$10-(C24-2)*$E$11)</f>
        <v>6992.2368</v>
      </c>
      <c r="E24" s="129">
        <f t="shared" ref="E24:F24" si="12">E23*(1+$E$4)</f>
        <v>1.226783887</v>
      </c>
      <c r="F24" s="129">
        <f t="shared" si="12"/>
        <v>1.003185539</v>
      </c>
      <c r="G24" s="130">
        <f t="shared" si="2"/>
        <v>7483.54662</v>
      </c>
      <c r="H24" s="130">
        <f t="shared" si="3"/>
        <v>74.8354662</v>
      </c>
      <c r="I24" s="130">
        <f>G24-H24- IF(Dimensionamento!$E$7="A", Dimensionamento!$E$37*Dimensionamento!$E$20*12, 0)</f>
        <v>7408.711154</v>
      </c>
      <c r="J24" s="130">
        <f t="shared" si="4"/>
        <v>26117.51034</v>
      </c>
      <c r="K24" s="130">
        <f t="shared" si="5"/>
        <v>3456.218431</v>
      </c>
      <c r="L24" s="130">
        <f t="shared" si="6"/>
        <v>9152.957499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"/>
      <c r="B25" s="4"/>
      <c r="C25" s="125">
        <v>9.0</v>
      </c>
      <c r="D25" s="126">
        <f>Dimensionamento!$E$43*12*(1-$E$10-(C25-2)*$E$11)</f>
        <v>6932.2176</v>
      </c>
      <c r="E25" s="126">
        <f t="shared" ref="E25:F25" si="13">E24*(1+$E$4)</f>
        <v>1.318792678</v>
      </c>
      <c r="F25" s="126">
        <f t="shared" si="13"/>
        <v>1.078424454</v>
      </c>
      <c r="G25" s="127">
        <f t="shared" si="2"/>
        <v>7975.758431</v>
      </c>
      <c r="H25" s="127">
        <f t="shared" si="3"/>
        <v>79.75758431</v>
      </c>
      <c r="I25" s="127">
        <f>G25-H25- IF(Dimensionamento!$E$7="A", Dimensionamento!$E$37*Dimensionamento!$E$20*12, 0)</f>
        <v>7896.000847</v>
      </c>
      <c r="J25" s="127">
        <f t="shared" si="4"/>
        <v>34013.51118</v>
      </c>
      <c r="K25" s="127">
        <f t="shared" si="5"/>
        <v>3348.675154</v>
      </c>
      <c r="L25" s="127">
        <f t="shared" si="6"/>
        <v>12501.63265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4"/>
      <c r="B26" s="4"/>
      <c r="C26" s="128">
        <v>10.0</v>
      </c>
      <c r="D26" s="129">
        <f>Dimensionamento!$E$43*12*(1-$E$10-(C26-2)*$E$11)</f>
        <v>6872.1984</v>
      </c>
      <c r="E26" s="129">
        <f t="shared" ref="E26:F26" si="14">E25*(1+$E$4)</f>
        <v>1.417702129</v>
      </c>
      <c r="F26" s="129">
        <f t="shared" si="14"/>
        <v>1.159306288</v>
      </c>
      <c r="G26" s="130">
        <f t="shared" si="2"/>
        <v>8499.707064</v>
      </c>
      <c r="H26" s="130">
        <f t="shared" si="3"/>
        <v>84.99707064</v>
      </c>
      <c r="I26" s="130">
        <f>G26-H26- IF(Dimensionamento!$E$7="A", Dimensionamento!$E$37*Dimensionamento!$E$20*12, 0)</f>
        <v>8414.709993</v>
      </c>
      <c r="J26" s="130">
        <f t="shared" si="4"/>
        <v>42428.22118</v>
      </c>
      <c r="K26" s="130">
        <f t="shared" si="5"/>
        <v>3244.23497</v>
      </c>
      <c r="L26" s="130">
        <f t="shared" si="6"/>
        <v>15745.86762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"/>
      <c r="B27" s="4"/>
      <c r="C27" s="125">
        <v>11.0</v>
      </c>
      <c r="D27" s="126">
        <f>Dimensionamento!$E$43*12*(1-$E$10-(C27-2)*$E$11)</f>
        <v>6812.1792</v>
      </c>
      <c r="E27" s="126">
        <f t="shared" ref="E27:F27" si="15">E26*(1+$E$4)</f>
        <v>1.524029789</v>
      </c>
      <c r="F27" s="126">
        <f t="shared" si="15"/>
        <v>1.24625426</v>
      </c>
      <c r="G27" s="127">
        <f t="shared" si="2"/>
        <v>9057.384351</v>
      </c>
      <c r="H27" s="127">
        <f t="shared" si="3"/>
        <v>90.57384351</v>
      </c>
      <c r="I27" s="127">
        <f>G27-H27- IF(Dimensionamento!$E$7="A", Dimensionamento!$E$37*Dimensionamento!$E$20*12, 0)</f>
        <v>8966.810507</v>
      </c>
      <c r="J27" s="127">
        <f t="shared" si="4"/>
        <v>51395.03168</v>
      </c>
      <c r="K27" s="127">
        <f t="shared" si="5"/>
        <v>3142.812381</v>
      </c>
      <c r="L27" s="127">
        <f t="shared" si="6"/>
        <v>18888.68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4"/>
      <c r="B28" s="4"/>
      <c r="C28" s="128">
        <v>12.0</v>
      </c>
      <c r="D28" s="129">
        <f>Dimensionamento!$E$43*12*(1-$E$10-(C28-2)*$E$11)</f>
        <v>6752.16</v>
      </c>
      <c r="E28" s="129">
        <f t="shared" ref="E28:F28" si="16">E27*(1+$E$4)</f>
        <v>1.638332023</v>
      </c>
      <c r="F28" s="129">
        <f t="shared" si="16"/>
        <v>1.339723329</v>
      </c>
      <c r="G28" s="130">
        <f t="shared" si="2"/>
        <v>9650.902378</v>
      </c>
      <c r="H28" s="130">
        <f t="shared" si="3"/>
        <v>96.50902378</v>
      </c>
      <c r="I28" s="130">
        <f>G28-H28- IF(Dimensionamento!$E$7="A", Dimensionamento!$E$37*Dimensionamento!$E$20*12, 0)</f>
        <v>9554.393354</v>
      </c>
      <c r="J28" s="130">
        <f t="shared" si="4"/>
        <v>60949.42504</v>
      </c>
      <c r="K28" s="130">
        <f t="shared" si="5"/>
        <v>3044.324167</v>
      </c>
      <c r="L28" s="130">
        <f t="shared" si="6"/>
        <v>21933.00417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"/>
      <c r="B29" s="4"/>
      <c r="C29" s="125">
        <v>13.0</v>
      </c>
      <c r="D29" s="126">
        <f>Dimensionamento!$E$43*12*(1-$E$10-(C29-2)*$E$11)</f>
        <v>6692.1408</v>
      </c>
      <c r="E29" s="126">
        <f t="shared" ref="E29:F29" si="17">E28*(1+$E$4)</f>
        <v>1.761206925</v>
      </c>
      <c r="F29" s="126">
        <f t="shared" si="17"/>
        <v>1.440202579</v>
      </c>
      <c r="G29" s="127">
        <f t="shared" si="2"/>
        <v>10282.50032</v>
      </c>
      <c r="H29" s="127">
        <f t="shared" si="3"/>
        <v>102.8250032</v>
      </c>
      <c r="I29" s="127">
        <f>G29-H29- IF(Dimensionamento!$E$7="A", Dimensionamento!$E$37*Dimensionamento!$E$20*12, 0)</f>
        <v>10179.67532</v>
      </c>
      <c r="J29" s="127">
        <f t="shared" si="4"/>
        <v>71129.10036</v>
      </c>
      <c r="K29" s="127">
        <f t="shared" si="5"/>
        <v>2948.689337</v>
      </c>
      <c r="L29" s="127">
        <f t="shared" si="6"/>
        <v>24881.69351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4"/>
      <c r="B30" s="4"/>
      <c r="C30" s="128">
        <v>14.0</v>
      </c>
      <c r="D30" s="129">
        <f>Dimensionamento!$E$43*12*(1-$E$10-(C30-2)*$E$11)</f>
        <v>6632.1216</v>
      </c>
      <c r="E30" s="129">
        <f t="shared" ref="E30:F30" si="18">E29*(1+$E$4)</f>
        <v>1.893297444</v>
      </c>
      <c r="F30" s="129">
        <f t="shared" si="18"/>
        <v>1.548217772</v>
      </c>
      <c r="G30" s="130">
        <f t="shared" si="2"/>
        <v>10954.55163</v>
      </c>
      <c r="H30" s="130">
        <f t="shared" si="3"/>
        <v>109.5455163</v>
      </c>
      <c r="I30" s="130">
        <f>G30-H30- IF(Dimensionamento!$E$7="A", Dimensionamento!$E$37*Dimensionamento!$E$20*12, 0)</f>
        <v>10845.00612</v>
      </c>
      <c r="J30" s="130">
        <f t="shared" si="4"/>
        <v>81974.10647</v>
      </c>
      <c r="K30" s="130">
        <f t="shared" si="5"/>
        <v>2855.829064</v>
      </c>
      <c r="L30" s="130">
        <f t="shared" si="6"/>
        <v>27737.52257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"/>
      <c r="B31" s="4"/>
      <c r="C31" s="125">
        <v>15.0</v>
      </c>
      <c r="D31" s="126">
        <f>Dimensionamento!$E$43*12*(1-$E$10-(C31-2)*$E$11)</f>
        <v>6572.1024</v>
      </c>
      <c r="E31" s="126">
        <f t="shared" ref="E31:F31" si="19">E30*(1+$E$4)</f>
        <v>2.035294752</v>
      </c>
      <c r="F31" s="126">
        <f t="shared" si="19"/>
        <v>1.664334105</v>
      </c>
      <c r="G31" s="127">
        <f t="shared" si="2"/>
        <v>11669.57158</v>
      </c>
      <c r="H31" s="127">
        <f t="shared" si="3"/>
        <v>8285.395819</v>
      </c>
      <c r="I31" s="127">
        <f>G31-H31- IF(Dimensionamento!$E$7="A", Dimensionamento!$E$37*Dimensionamento!$E$20*12, 0)</f>
        <v>3384.175757</v>
      </c>
      <c r="J31" s="127">
        <f t="shared" si="4"/>
        <v>85358.28223</v>
      </c>
      <c r="K31" s="127">
        <f t="shared" si="5"/>
        <v>810.1447699</v>
      </c>
      <c r="L31" s="127">
        <f t="shared" si="6"/>
        <v>28547.66734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"/>
      <c r="B32" s="4"/>
      <c r="C32" s="128">
        <v>16.0</v>
      </c>
      <c r="D32" s="129">
        <f>Dimensionamento!$E$43*12*(1-$E$10-(C32-2)*$E$11)</f>
        <v>6512.0832</v>
      </c>
      <c r="E32" s="129">
        <f t="shared" ref="E32:F32" si="20">E31*(1+$E$4)</f>
        <v>2.187941859</v>
      </c>
      <c r="F32" s="129">
        <f t="shared" si="20"/>
        <v>1.789159163</v>
      </c>
      <c r="G32" s="130">
        <f t="shared" si="2"/>
        <v>12430.22516</v>
      </c>
      <c r="H32" s="130">
        <f t="shared" si="3"/>
        <v>124.3022516</v>
      </c>
      <c r="I32" s="130">
        <f>G32-H32- IF(Dimensionamento!$E$7="A", Dimensionamento!$E$37*Dimensionamento!$E$20*12, 0)</f>
        <v>12305.9229</v>
      </c>
      <c r="J32" s="130">
        <f t="shared" si="4"/>
        <v>97664.20514</v>
      </c>
      <c r="K32" s="130">
        <f t="shared" si="5"/>
        <v>2678.127367</v>
      </c>
      <c r="L32" s="130">
        <f t="shared" si="6"/>
        <v>31225.79471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4"/>
      <c r="B33" s="4"/>
      <c r="C33" s="125">
        <v>17.0</v>
      </c>
      <c r="D33" s="126">
        <f>Dimensionamento!$E$43*12*(1-$E$10-(C33-2)*$E$11)</f>
        <v>6452.064</v>
      </c>
      <c r="E33" s="126">
        <f t="shared" ref="E33:F33" si="21">E32*(1+$E$4)</f>
        <v>2.352037498</v>
      </c>
      <c r="F33" s="126">
        <f t="shared" si="21"/>
        <v>1.923346101</v>
      </c>
      <c r="G33" s="127">
        <f t="shared" si="2"/>
        <v>13239.33543</v>
      </c>
      <c r="H33" s="127">
        <f t="shared" si="3"/>
        <v>132.3933543</v>
      </c>
      <c r="I33" s="127">
        <f>G33-H33- IF(Dimensionamento!$E$7="A", Dimensionamento!$E$37*Dimensionamento!$E$20*12, 0)</f>
        <v>13106.94208</v>
      </c>
      <c r="J33" s="127">
        <f t="shared" si="4"/>
        <v>110771.1472</v>
      </c>
      <c r="K33" s="127">
        <f t="shared" si="5"/>
        <v>2593.138616</v>
      </c>
      <c r="L33" s="127">
        <f t="shared" si="6"/>
        <v>33818.93332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4"/>
      <c r="B34" s="4"/>
      <c r="C34" s="128">
        <v>18.0</v>
      </c>
      <c r="D34" s="129">
        <f>Dimensionamento!$E$43*12*(1-$E$10-(C34-2)*$E$11)</f>
        <v>6392.0448</v>
      </c>
      <c r="E34" s="129">
        <f t="shared" ref="E34:F34" si="22">E33*(1+$E$4)</f>
        <v>2.52844031</v>
      </c>
      <c r="F34" s="129">
        <f t="shared" si="22"/>
        <v>2.067597058</v>
      </c>
      <c r="G34" s="130">
        <f t="shared" si="2"/>
        <v>14099.89224</v>
      </c>
      <c r="H34" s="130">
        <f t="shared" si="3"/>
        <v>140.9989224</v>
      </c>
      <c r="I34" s="130">
        <f>G34-H34- IF(Dimensionamento!$E$7="A", Dimensionamento!$E$37*Dimensionamento!$E$20*12, 0)</f>
        <v>13958.89332</v>
      </c>
      <c r="J34" s="130">
        <f t="shared" si="4"/>
        <v>124730.0405</v>
      </c>
      <c r="K34" s="130">
        <f t="shared" si="5"/>
        <v>2510.62966</v>
      </c>
      <c r="L34" s="130">
        <f t="shared" si="6"/>
        <v>36329.56299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"/>
      <c r="B35" s="4"/>
      <c r="C35" s="125">
        <v>19.0</v>
      </c>
      <c r="D35" s="126">
        <f>Dimensionamento!$E$43*12*(1-$E$10-(C35-2)*$E$11)</f>
        <v>6332.0256</v>
      </c>
      <c r="E35" s="126">
        <f t="shared" ref="E35:F35" si="23">E34*(1+$E$4)</f>
        <v>2.718073334</v>
      </c>
      <c r="F35" s="126">
        <f t="shared" si="23"/>
        <v>2.222666837</v>
      </c>
      <c r="G35" s="127">
        <f t="shared" si="2"/>
        <v>15015.0613</v>
      </c>
      <c r="H35" s="127">
        <f t="shared" si="3"/>
        <v>150.150613</v>
      </c>
      <c r="I35" s="127">
        <f>G35-H35- IF(Dimensionamento!$E$7="A", Dimensionamento!$E$37*Dimensionamento!$E$20*12, 0)</f>
        <v>14864.91069</v>
      </c>
      <c r="J35" s="127">
        <f t="shared" si="4"/>
        <v>139594.9512</v>
      </c>
      <c r="K35" s="127">
        <f t="shared" si="5"/>
        <v>2430.53168</v>
      </c>
      <c r="L35" s="127">
        <f t="shared" si="6"/>
        <v>38760.09467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4"/>
      <c r="B36" s="4"/>
      <c r="C36" s="128">
        <v>20.0</v>
      </c>
      <c r="D36" s="129">
        <f>Dimensionamento!$E$43*12*(1-$E$10-(C36-2)*$E$11)</f>
        <v>6272.0064</v>
      </c>
      <c r="E36" s="129">
        <f t="shared" ref="E36:F36" si="24">E35*(1+$E$4)</f>
        <v>2.921928834</v>
      </c>
      <c r="F36" s="129">
        <f t="shared" si="24"/>
        <v>2.38936685</v>
      </c>
      <c r="G36" s="130">
        <f t="shared" si="2"/>
        <v>15988.19383</v>
      </c>
      <c r="H36" s="130">
        <f t="shared" si="3"/>
        <v>159.8819383</v>
      </c>
      <c r="I36" s="130">
        <f>G36-H36- IF(Dimensionamento!$E$7="A", Dimensionamento!$E$37*Dimensionamento!$E$20*12, 0)</f>
        <v>15828.31189</v>
      </c>
      <c r="J36" s="130">
        <f t="shared" si="4"/>
        <v>155423.2631</v>
      </c>
      <c r="K36" s="130">
        <f t="shared" si="5"/>
        <v>2352.777705</v>
      </c>
      <c r="L36" s="130">
        <f t="shared" si="6"/>
        <v>41112.87237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4"/>
      <c r="B37" s="4"/>
      <c r="C37" s="125">
        <v>21.0</v>
      </c>
      <c r="D37" s="126">
        <f>Dimensionamento!$E$43*12*(1-$E$10-(C37-2)*$E$11)</f>
        <v>6211.9872</v>
      </c>
      <c r="E37" s="126">
        <f t="shared" ref="E37:F37" si="25">E36*(1+$E$4)</f>
        <v>3.141073496</v>
      </c>
      <c r="F37" s="126">
        <f t="shared" si="25"/>
        <v>2.568569364</v>
      </c>
      <c r="G37" s="127">
        <f t="shared" si="2"/>
        <v>17022.83651</v>
      </c>
      <c r="H37" s="127">
        <f t="shared" si="3"/>
        <v>170.2283651</v>
      </c>
      <c r="I37" s="127">
        <f>G37-H37- IF(Dimensionamento!$E$7="A", Dimensionamento!$E$37*Dimensionamento!$E$20*12, 0)</f>
        <v>16852.60815</v>
      </c>
      <c r="J37" s="127">
        <f t="shared" si="4"/>
        <v>172275.8713</v>
      </c>
      <c r="K37" s="127">
        <f t="shared" si="5"/>
        <v>2277.302561</v>
      </c>
      <c r="L37" s="127">
        <f t="shared" si="6"/>
        <v>43390.17493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"/>
      <c r="B38" s="4"/>
      <c r="C38" s="128">
        <v>22.0</v>
      </c>
      <c r="D38" s="129">
        <f>Dimensionamento!$E$43*12*(1-$E$10-(C38-2)*$E$11)</f>
        <v>6151.968</v>
      </c>
      <c r="E38" s="129">
        <f t="shared" ref="E38:F38" si="26">E37*(1+$E$4)</f>
        <v>3.376654008</v>
      </c>
      <c r="F38" s="129">
        <f t="shared" si="26"/>
        <v>2.761212066</v>
      </c>
      <c r="G38" s="130">
        <f t="shared" si="2"/>
        <v>18122.74201</v>
      </c>
      <c r="H38" s="130">
        <f t="shared" si="3"/>
        <v>181.2274201</v>
      </c>
      <c r="I38" s="130">
        <f>G38-H38- IF(Dimensionamento!$E$7="A", Dimensionamento!$E$37*Dimensionamento!$E$20*12, 0)</f>
        <v>17941.51459</v>
      </c>
      <c r="J38" s="130">
        <f t="shared" si="4"/>
        <v>190217.3858</v>
      </c>
      <c r="K38" s="130">
        <f t="shared" si="5"/>
        <v>2204.042828</v>
      </c>
      <c r="L38" s="130">
        <f t="shared" si="6"/>
        <v>45594.21776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4"/>
      <c r="B39" s="4"/>
      <c r="C39" s="125">
        <v>23.0</v>
      </c>
      <c r="D39" s="126">
        <f>Dimensionamento!$E$43*12*(1-$E$10-(C39-2)*$E$11)</f>
        <v>6091.9488</v>
      </c>
      <c r="E39" s="126">
        <f t="shared" ref="E39:F39" si="27">E38*(1+$E$4)</f>
        <v>3.629903059</v>
      </c>
      <c r="F39" s="126">
        <f t="shared" si="27"/>
        <v>2.968302971</v>
      </c>
      <c r="G39" s="127">
        <f t="shared" si="2"/>
        <v>19291.87988</v>
      </c>
      <c r="H39" s="127">
        <f t="shared" si="3"/>
        <v>192.9187988</v>
      </c>
      <c r="I39" s="127">
        <f>G39-H39- IF(Dimensionamento!$E$7="A", Dimensionamento!$E$37*Dimensionamento!$E$20*12, 0)</f>
        <v>19098.96108</v>
      </c>
      <c r="J39" s="127">
        <f t="shared" si="4"/>
        <v>209316.3469</v>
      </c>
      <c r="K39" s="127">
        <f t="shared" si="5"/>
        <v>2132.93679</v>
      </c>
      <c r="L39" s="127">
        <f t="shared" si="6"/>
        <v>47727.15455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4"/>
      <c r="B40" s="4"/>
      <c r="C40" s="128">
        <v>24.0</v>
      </c>
      <c r="D40" s="129">
        <f>Dimensionamento!$E$43*12*(1-$E$10-(C40-2)*$E$11)</f>
        <v>6031.9296</v>
      </c>
      <c r="E40" s="129">
        <f t="shared" ref="E40:F40" si="28">E39*(1+$E$4)</f>
        <v>3.902145788</v>
      </c>
      <c r="F40" s="129">
        <f t="shared" si="28"/>
        <v>3.190925694</v>
      </c>
      <c r="G40" s="130">
        <f t="shared" si="2"/>
        <v>20534.44801</v>
      </c>
      <c r="H40" s="130">
        <f t="shared" si="3"/>
        <v>205.3444801</v>
      </c>
      <c r="I40" s="130">
        <f>G40-H40- IF(Dimensionamento!$E$7="A", Dimensionamento!$E$37*Dimensionamento!$E$20*12, 0)</f>
        <v>20329.10353</v>
      </c>
      <c r="J40" s="130">
        <f t="shared" si="4"/>
        <v>229645.4505</v>
      </c>
      <c r="K40" s="130">
        <f t="shared" si="5"/>
        <v>2063.924392</v>
      </c>
      <c r="L40" s="130">
        <f t="shared" si="6"/>
        <v>49791.07894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"/>
      <c r="B41" s="4"/>
      <c r="C41" s="125">
        <v>25.0</v>
      </c>
      <c r="D41" s="126">
        <f>Dimensionamento!$E$43*12*(1-$E$10-(C41-2)*$E$11)</f>
        <v>5971.9104</v>
      </c>
      <c r="E41" s="126">
        <f t="shared" ref="E41:F41" si="29">E40*(1+$E$4)</f>
        <v>4.194806722</v>
      </c>
      <c r="F41" s="126">
        <f t="shared" si="29"/>
        <v>3.430245121</v>
      </c>
      <c r="G41" s="127">
        <f t="shared" si="2"/>
        <v>21854.88453</v>
      </c>
      <c r="H41" s="127">
        <f t="shared" si="3"/>
        <v>218.5488453</v>
      </c>
      <c r="I41" s="127">
        <f>G41-H41- IF(Dimensionamento!$E$7="A", Dimensionamento!$E$37*Dimensionamento!$E$20*12, 0)</f>
        <v>21636.33568</v>
      </c>
      <c r="J41" s="127">
        <f t="shared" si="4"/>
        <v>251281.7861</v>
      </c>
      <c r="K41" s="127">
        <f t="shared" si="5"/>
        <v>1996.947199</v>
      </c>
      <c r="L41" s="127">
        <f t="shared" si="6"/>
        <v>51788.02614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"/>
      <c r="B42" s="4"/>
      <c r="C42" s="128">
        <v>26.0</v>
      </c>
      <c r="D42" s="129">
        <f>Dimensionamento!$E$43*12*(1-$E$10-(C42-2)*$E$11)</f>
        <v>5911.8912</v>
      </c>
      <c r="E42" s="129">
        <f t="shared" ref="E42:F42" si="30">E41*(1+$E$4)</f>
        <v>4.509417227</v>
      </c>
      <c r="F42" s="129">
        <f t="shared" si="30"/>
        <v>3.687513505</v>
      </c>
      <c r="G42" s="130">
        <f t="shared" si="2"/>
        <v>23257.88026</v>
      </c>
      <c r="H42" s="130">
        <f t="shared" si="3"/>
        <v>232.5788026</v>
      </c>
      <c r="I42" s="130">
        <f>G42-H42- IF(Dimensionamento!$E$7="A", Dimensionamento!$E$37*Dimensionamento!$E$20*12, 0)</f>
        <v>23025.30145</v>
      </c>
      <c r="J42" s="130">
        <f t="shared" si="4"/>
        <v>274307.0876</v>
      </c>
      <c r="K42" s="130">
        <f t="shared" si="5"/>
        <v>1931.948346</v>
      </c>
      <c r="L42" s="130">
        <f t="shared" si="6"/>
        <v>53719.97449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"/>
      <c r="B43" s="4"/>
      <c r="C43" s="125">
        <v>27.0</v>
      </c>
      <c r="D43" s="126">
        <f>Dimensionamento!$E$43*12*(1-$E$10-(C43-2)*$E$11)</f>
        <v>5851.872</v>
      </c>
      <c r="E43" s="126">
        <f t="shared" ref="E43:F43" si="31">E42*(1+$E$4)</f>
        <v>4.847623519</v>
      </c>
      <c r="F43" s="126">
        <f t="shared" si="31"/>
        <v>3.964077018</v>
      </c>
      <c r="G43" s="127">
        <f t="shared" si="2"/>
        <v>24748.39162</v>
      </c>
      <c r="H43" s="127">
        <f t="shared" si="3"/>
        <v>247.4839162</v>
      </c>
      <c r="I43" s="127">
        <f>G43-H43- IF(Dimensionamento!$E$7="A", Dimensionamento!$E$37*Dimensionamento!$E$20*12, 0)</f>
        <v>24500.9077</v>
      </c>
      <c r="J43" s="127">
        <f t="shared" si="4"/>
        <v>298807.9953</v>
      </c>
      <c r="K43" s="127">
        <f t="shared" si="5"/>
        <v>1868.872506</v>
      </c>
      <c r="L43" s="127">
        <f t="shared" si="6"/>
        <v>55588.84699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"/>
      <c r="B44" s="4"/>
      <c r="C44" s="128">
        <v>28.0</v>
      </c>
      <c r="D44" s="129">
        <f>Dimensionamento!$E$43*12*(1-$E$10-(C44-2)*$E$11)</f>
        <v>5791.8528</v>
      </c>
      <c r="E44" s="129">
        <f t="shared" ref="E44:F44" si="32">E43*(1+$E$4)</f>
        <v>5.211195283</v>
      </c>
      <c r="F44" s="129">
        <f t="shared" si="32"/>
        <v>4.261382795</v>
      </c>
      <c r="G44" s="130">
        <f t="shared" si="2"/>
        <v>26331.65411</v>
      </c>
      <c r="H44" s="130">
        <f t="shared" si="3"/>
        <v>263.3165411</v>
      </c>
      <c r="I44" s="130">
        <f>G44-H44- IF(Dimensionamento!$E$7="A", Dimensionamento!$E$37*Dimensionamento!$E$20*12, 0)</f>
        <v>26068.33756</v>
      </c>
      <c r="J44" s="130">
        <f t="shared" si="4"/>
        <v>324876.3329</v>
      </c>
      <c r="K44" s="130">
        <f t="shared" si="5"/>
        <v>1807.665843</v>
      </c>
      <c r="L44" s="130">
        <f t="shared" si="6"/>
        <v>57396.51283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4"/>
      <c r="B45" s="4"/>
      <c r="C45" s="125">
        <v>29.0</v>
      </c>
      <c r="D45" s="126">
        <f>Dimensionamento!$E$43*12*(1-$E$10-(C45-2)*$E$11)</f>
        <v>5731.8336</v>
      </c>
      <c r="E45" s="126">
        <f t="shared" ref="E45:F45" si="33">E44*(1+$E$4)</f>
        <v>5.602034929</v>
      </c>
      <c r="F45" s="126">
        <f t="shared" si="33"/>
        <v>4.580986504</v>
      </c>
      <c r="G45" s="127">
        <f t="shared" si="2"/>
        <v>28013.19627</v>
      </c>
      <c r="H45" s="127">
        <f t="shared" si="3"/>
        <v>280.1319627</v>
      </c>
      <c r="I45" s="127">
        <f>G45-H45- IF(Dimensionamento!$E$7="A", Dimensionamento!$E$37*Dimensionamento!$E$20*12, 0)</f>
        <v>27733.0643</v>
      </c>
      <c r="J45" s="127">
        <f t="shared" si="4"/>
        <v>352609.3972</v>
      </c>
      <c r="K45" s="127">
        <f t="shared" si="5"/>
        <v>1748.275973</v>
      </c>
      <c r="L45" s="127">
        <f t="shared" si="6"/>
        <v>59144.78881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"/>
      <c r="B46" s="4"/>
      <c r="C46" s="131">
        <v>30.0</v>
      </c>
      <c r="D46" s="132">
        <f>Dimensionamento!$E$43*12*(1-$E$10-(C46-2)*$E$11)</f>
        <v>5671.8144</v>
      </c>
      <c r="E46" s="132">
        <f t="shared" ref="E46:F46" si="34">E45*(1+$E$4)</f>
        <v>6.022187548</v>
      </c>
      <c r="F46" s="132">
        <f t="shared" si="34"/>
        <v>4.924560492</v>
      </c>
      <c r="G46" s="133">
        <f t="shared" si="2"/>
        <v>29798.8542</v>
      </c>
      <c r="H46" s="133">
        <f t="shared" si="3"/>
        <v>21157.18648</v>
      </c>
      <c r="I46" s="133">
        <f>G46-H46- IF(Dimensionamento!$E$7="A", Dimensionamento!$E$37*Dimensionamento!$E$20*12, 0)</f>
        <v>8641.667717</v>
      </c>
      <c r="J46" s="133">
        <f t="shared" si="4"/>
        <v>361251.0649</v>
      </c>
      <c r="K46" s="133">
        <f t="shared" si="5"/>
        <v>495.241475</v>
      </c>
      <c r="L46" s="133">
        <f t="shared" si="6"/>
        <v>59640.03028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"/>
      <c r="B49" s="4"/>
      <c r="C49" s="8" t="s">
        <v>174</v>
      </c>
      <c r="D49" s="134">
        <f>SUM(K16:K46)</f>
        <v>59640.03028</v>
      </c>
      <c r="E49" s="13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4"/>
      <c r="B50" s="4"/>
      <c r="C50" s="8" t="s">
        <v>175</v>
      </c>
      <c r="D50" s="136">
        <f>IRR(I16:I46)</f>
        <v>0.280153413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4"/>
      <c r="B52" s="137" t="s">
        <v>176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4"/>
      <c r="B56" s="137" t="s">
        <v>177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B8:D8"/>
    <mergeCell ref="B9:D9"/>
    <mergeCell ref="B10:D10"/>
    <mergeCell ref="B11:D11"/>
    <mergeCell ref="B13:D13"/>
    <mergeCell ref="B52:L54"/>
    <mergeCell ref="B56:L58"/>
    <mergeCell ref="B1:D1"/>
    <mergeCell ref="G2:H2"/>
    <mergeCell ref="G3:H3"/>
    <mergeCell ref="B4:D4"/>
    <mergeCell ref="B5:D5"/>
    <mergeCell ref="B6:D6"/>
    <mergeCell ref="B7:D7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2026-05-20T21:11:41Z</dcterms:created>
  <dc:creator>Pedro dos Santos</dc:creator>
</cp:coreProperties>
</file>