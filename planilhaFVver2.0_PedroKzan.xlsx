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0A3ED8-3CED-40B0-81E6-8EC0E9157C90}" xr6:coauthVersionLast="47" xr6:coauthVersionMax="47" xr10:uidLastSave="{00000000-0000-0000-0000-000000000000}"/>
  <bookViews>
    <workbookView xWindow="9010" yWindow="0" windowWidth="10280" windowHeight="10170" firstSheet="1" activeTab="1" xr2:uid="{F3098340-45CE-453E-8700-D146D20039C6}"/>
  </bookViews>
  <sheets>
    <sheet name="Dimensionamento" sheetId="1" r:id="rId1"/>
    <sheet name="Pay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3" i="2"/>
  <c r="E36" i="1"/>
  <c r="E34" i="1"/>
  <c r="P6" i="2" l="1"/>
  <c r="P5" i="2"/>
  <c r="P4" i="2"/>
  <c r="P3" i="2"/>
  <c r="G69" i="1"/>
  <c r="G70" i="1" s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49" i="1"/>
  <c r="E45" i="1"/>
  <c r="E35" i="1"/>
  <c r="E33" i="1"/>
  <c r="E32" i="1"/>
  <c r="E38" i="1" s="1"/>
  <c r="E39" i="1" s="1"/>
  <c r="E41" i="1" s="1"/>
  <c r="F17" i="2" l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E17" i="2"/>
  <c r="E18" i="2" s="1"/>
  <c r="G65" i="1"/>
  <c r="E43" i="1"/>
  <c r="E42" i="1"/>
  <c r="E37" i="1" s="1"/>
  <c r="E40" i="1"/>
  <c r="E44" i="1" s="1"/>
  <c r="G75" i="1"/>
  <c r="I16" i="2" l="1"/>
  <c r="D77" i="1"/>
  <c r="D20" i="2"/>
  <c r="D32" i="2"/>
  <c r="D33" i="2"/>
  <c r="D36" i="2"/>
  <c r="D34" i="2"/>
  <c r="D42" i="2"/>
  <c r="D35" i="2"/>
  <c r="D43" i="2"/>
  <c r="D44" i="2"/>
  <c r="D37" i="2"/>
  <c r="D39" i="2"/>
  <c r="D40" i="2"/>
  <c r="D41" i="2"/>
  <c r="D24" i="2"/>
  <c r="D19" i="2"/>
  <c r="D25" i="2"/>
  <c r="D45" i="2"/>
  <c r="D38" i="2"/>
  <c r="D46" i="2"/>
  <c r="D26" i="2"/>
  <c r="D22" i="2"/>
  <c r="D23" i="2"/>
  <c r="D21" i="2"/>
  <c r="D18" i="2"/>
  <c r="D27" i="2"/>
  <c r="D29" i="2"/>
  <c r="D30" i="2"/>
  <c r="D31" i="2"/>
  <c r="D17" i="2"/>
  <c r="G17" i="2" s="1"/>
  <c r="D28" i="2"/>
  <c r="G18" i="2"/>
  <c r="E19" i="2"/>
  <c r="H18" i="2" l="1"/>
  <c r="I18" i="2" s="1"/>
  <c r="H17" i="2"/>
  <c r="I17" i="2" s="1"/>
  <c r="L16" i="2"/>
  <c r="J16" i="2"/>
  <c r="K16" i="2"/>
  <c r="G19" i="2"/>
  <c r="E20" i="2"/>
  <c r="H19" i="2" l="1"/>
  <c r="I19" i="2" s="1"/>
  <c r="K17" i="2"/>
  <c r="L17" i="2" s="1"/>
  <c r="J17" i="2"/>
  <c r="J18" i="2" s="1"/>
  <c r="K18" i="2"/>
  <c r="E21" i="2"/>
  <c r="G20" i="2"/>
  <c r="J19" i="2" l="1"/>
  <c r="L18" i="2"/>
  <c r="H20" i="2"/>
  <c r="I20" i="2" s="1"/>
  <c r="K19" i="2"/>
  <c r="L19" i="2" s="1"/>
  <c r="E22" i="2"/>
  <c r="G21" i="2"/>
  <c r="J20" i="2" l="1"/>
  <c r="H21" i="2"/>
  <c r="I21" i="2" s="1"/>
  <c r="K20" i="2"/>
  <c r="L20" i="2" s="1"/>
  <c r="E23" i="2"/>
  <c r="G22" i="2"/>
  <c r="J21" i="2" l="1"/>
  <c r="H22" i="2"/>
  <c r="I22" i="2" s="1"/>
  <c r="K21" i="2"/>
  <c r="L21" i="2" s="1"/>
  <c r="E24" i="2"/>
  <c r="G23" i="2"/>
  <c r="J22" i="2" l="1"/>
  <c r="H23" i="2"/>
  <c r="I23" i="2" s="1"/>
  <c r="K22" i="2"/>
  <c r="L22" i="2" s="1"/>
  <c r="E25" i="2"/>
  <c r="G24" i="2"/>
  <c r="J23" i="2" l="1"/>
  <c r="H24" i="2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 s="1"/>
  <c r="J33" i="2" s="1"/>
  <c r="K32" i="2"/>
  <c r="L32" i="2" s="1"/>
  <c r="E35" i="2"/>
  <c r="G34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 s="1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 s="1"/>
  <c r="J40" i="2" s="1"/>
  <c r="K39" i="2"/>
  <c r="L39" i="2" s="1"/>
  <c r="E42" i="2"/>
  <c r="G41" i="2"/>
  <c r="H41" i="2" l="1"/>
  <c r="I41" i="2" s="1"/>
  <c r="J41" i="2" s="1"/>
  <c r="K40" i="2"/>
  <c r="L40" i="2" s="1"/>
  <c r="E43" i="2"/>
  <c r="G42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4" i="2"/>
  <c r="H44" i="2" l="1"/>
  <c r="I44" i="2" s="1"/>
  <c r="J44" i="2" s="1"/>
  <c r="K43" i="2"/>
  <c r="L43" i="2" s="1"/>
  <c r="E46" i="2"/>
  <c r="G46" i="2" s="1"/>
  <c r="G45" i="2"/>
  <c r="H46" i="2" l="1"/>
  <c r="I46" i="2" s="1"/>
  <c r="H45" i="2"/>
  <c r="K44" i="2"/>
  <c r="L44" i="2" s="1"/>
  <c r="I45" i="2" l="1"/>
  <c r="J45" i="2" s="1"/>
  <c r="J46" i="2" s="1"/>
  <c r="K46" i="2"/>
  <c r="D50" i="2" l="1"/>
  <c r="K45" i="2"/>
  <c r="L45" i="2" s="1"/>
  <c r="L46" i="2" s="1"/>
  <c r="D49" i="2" l="1"/>
</calcChain>
</file>

<file path=xl/sharedStrings.xml><?xml version="1.0" encoding="utf-8"?>
<sst xmlns="http://schemas.openxmlformats.org/spreadsheetml/2006/main" count="179" uniqueCount="172">
  <si>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</si>
  <si>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</si>
  <si>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</si>
  <si>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</si>
  <si>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</si>
  <si>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</si>
  <si>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</si>
  <si>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</si>
  <si>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</si>
  <si>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</si>
  <si>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</si>
  <si>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</si>
  <si>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</si>
  <si>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</si>
  <si>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</si>
  <si>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</si>
  <si>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</si>
  <si>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</si>
  <si>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</si>
  <si>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</si>
  <si>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</si>
  <si>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</si>
  <si>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</si>
  <si>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</si>
  <si>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</si>
  <si>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</si>
  <si>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</si>
  <si>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</si>
  <si>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</si>
  <si>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</si>
  <si>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</si>
  <si>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</si>
  <si>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</si>
  <si>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</si>
  <si>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</si>
  <si>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</si>
  <si>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</si>
  <si>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</si>
  <si>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</si>
  <si>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</si>
  <si>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</si>
  <si>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</si>
  <si>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</si>
  <si>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</si>
  <si>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</si>
  <si>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</si>
  <si>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</si>
  <si>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</si>
  <si>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</si>
  <si>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</si>
  <si>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</si>
  <si>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</si>
  <si>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</si>
  <si>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</si>
  <si>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</si>
  <si>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</si>
  <si>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</si>
  <si>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</si>
  <si>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</si>
  <si>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</si>
  <si>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</si>
  <si>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</si>
  <si>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</si>
  <si>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</si>
  <si>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</si>
  <si>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</si>
  <si>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</si>
  <si>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</si>
  <si>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</si>
  <si>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</si>
  <si>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</si>
  <si>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</si>
  <si>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</si>
  <si>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</si>
  <si>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</si>
  <si>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</si>
  <si>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</si>
  <si>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</si>
  <si>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</si>
  <si>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</si>
  <si>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</si>
  <si>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</si>
  <si>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</si>
  <si>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</si>
  <si>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</si>
  <si>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</si>
  <si>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</si>
  <si>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</si>
  <si>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</si>
  <si>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</si>
  <si>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</si>
  <si>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</si>
  <si>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</si>
  <si>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</si>
  <si>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</si>
  <si>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</si>
  <si>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</si>
  <si>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</si>
  <si>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</si>
  <si>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</si>
  <si>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</si>
  <si>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</si>
  <si>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</si>
  <si>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</si>
  <si>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</si>
  <si>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</si>
  <si>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</si>
  <si>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</si>
  <si>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</si>
  <si>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</si>
  <si>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</si>
  <si>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</si>
  <si>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</si>
  <si>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</si>
  <si>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</si>
  <si>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</si>
  <si>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</si>
  <si>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</si>
  <si>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</si>
  <si>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</si>
  <si>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</si>
  <si>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</si>
  <si>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</si>
  <si>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</si>
  <si>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Baseado no aumento médio do custo da energia nos últimos anos.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</si>
  <si>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</si>
  <si>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</si>
  <si>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</si>
  <si>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</si>
  <si>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</si>
  <si>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</si>
  <si>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</si>
  <si>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</si>
  <si>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</si>
  <si>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TIR</t>
  </si>
  <si>
    <t>VPL</t>
  </si>
  <si>
    <t>(Grupo A) custo energia injetada</t>
  </si>
  <si>
    <t>Porcentagem fio B</t>
  </si>
  <si>
    <t>90% = base 2029, irá mudar com nova resolução ANEEL</t>
  </si>
  <si>
    <t>(Grupo A) Demanda de geração contratada ótima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</si>
  <si>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</si>
  <si>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</si>
  <si>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</si>
  <si>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</si>
  <si>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</si>
  <si>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</si>
  <si>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</si>
  <si>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</si>
  <si>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https://institutosolar.com/como-calcular-o-valor-do-fio-b-para-energia-solar/#:~:text=Para%20se%20obter%20o%20valor,Tarifas%20%3E%3E%20Relat%C3%B3rios%20e%20Indicadores.</t>
  </si>
  <si>
    <t>FioB% do TUSD (estimativa geral)</t>
  </si>
  <si>
    <t>Pois o FioB é uma tarifa baseada na TUSD. Conforme TUSD aumenta de valor, FioB também aumenta e pode mudar de forma independente por outras dinâmicas</t>
  </si>
  <si>
    <r>
      <t>90% = base (2029) até nova resolução ANEEL. *</t>
    </r>
    <r>
      <rPr>
        <i/>
        <sz val="7"/>
        <color theme="1"/>
        <rFont val="Trebuchet MS"/>
        <family val="2"/>
        <scheme val="major"/>
      </rPr>
      <t>Base para uso futuro</t>
    </r>
  </si>
  <si>
    <t>*Base para uso futuro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</si>
  <si>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</si>
  <si>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</si>
  <si>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*Energia injetada</t>
  </si>
  <si>
    <t>(Grupo A) c. cons. Fponta TE SCEE (R$/kWh)</t>
  </si>
  <si>
    <t>(Grupo A) c. cons. Fponta TUSD cheio (R$/kWh)</t>
  </si>
  <si>
    <t>(Grupo A) c. cons. Fponta TE cheio (R$/kWh)</t>
  </si>
  <si>
    <t>(Grupo A) c. cons. Fponta TUSD SCEE (R$/kWh)</t>
  </si>
  <si>
    <t>(Grupo A) c. demanda geração TUSDG (R$/kWh)</t>
  </si>
  <si>
    <r>
      <t xml:space="preserve">kW, </t>
    </r>
    <r>
      <rPr>
        <i/>
        <sz val="8"/>
        <color theme="1"/>
        <rFont val="Trebuchet MS"/>
        <family val="2"/>
        <scheme val="major"/>
      </rPr>
      <t>aproximado</t>
    </r>
  </si>
  <si>
    <t>"Projeto grupo B adequado tem custo entre 4 a 7 R$/Wp".</t>
  </si>
  <si>
    <t>TE_ef cheio</t>
  </si>
  <si>
    <t>TUSD_ef cheio</t>
  </si>
  <si>
    <t>TE_ef SCEE (GA)</t>
  </si>
  <si>
    <t>TUSD SCEE (GA)</t>
  </si>
  <si>
    <t>*Qnt. geração usada para suprir o próprio consumo, não injetada - residência, escolher entre 20-40% se não houver armazenamento (BESS); com BESS, depende da estratégia adotada no sistema.</t>
  </si>
  <si>
    <t>*Para sistemas do grupo A, o aproveitamento monetário é muito maior suprindo autoconsumo - recomendável instalar BESS.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</si>
  <si>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</si>
  <si>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</si>
  <si>
    <t>Fonte: kit 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</si>
</sst>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  <font>
      <i/>
      <sz val="7"/>
      <color theme="1"/>
      <name val="Trebuchet MS"/>
      <family val="2"/>
      <scheme val="major"/>
    </font>
    <font>
      <u/>
      <sz val="7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3" fillId="5" borderId="15" xfId="0" applyFont="1" applyFill="1" applyBorder="1"/>
    <xf numFmtId="0" fontId="21" fillId="0" borderId="0" xfId="0" applyFont="1"/>
    <xf numFmtId="9" fontId="12" fillId="4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2" fillId="0" borderId="6" xfId="1" applyFont="1" applyBorder="1" applyAlignment="1"/>
    <xf numFmtId="0" fontId="22" fillId="0" borderId="0" xfId="1" applyFont="1" applyBorder="1" applyAlignment="1"/>
    <xf numFmtId="2" fontId="12" fillId="8" borderId="2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/>
    </xf>
    <xf numFmtId="9" fontId="2" fillId="4" borderId="2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0" fillId="0" borderId="6" xfId="1" applyFont="1" applyBorder="1" applyAlignment="1">
      <alignment horizontal="left"/>
    </xf>
    <xf numFmtId="0" fontId="20" fillId="0" borderId="0" xfId="1" applyFont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00"/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-26413.91</c:v>
                </c:pt>
                <c:pt idx="1">
                  <c:v>-26413.91</c:v>
                </c:pt>
                <c:pt idx="2">
                  <c:v>-26413.91</c:v>
                </c:pt>
                <c:pt idx="3">
                  <c:v>-26413.91</c:v>
                </c:pt>
                <c:pt idx="4">
                  <c:v>-26413.91</c:v>
                </c:pt>
                <c:pt idx="5">
                  <c:v>-26413.91</c:v>
                </c:pt>
                <c:pt idx="6">
                  <c:v>-26413.91</c:v>
                </c:pt>
                <c:pt idx="7">
                  <c:v>-26413.91</c:v>
                </c:pt>
                <c:pt idx="8">
                  <c:v>-26413.91</c:v>
                </c:pt>
                <c:pt idx="9">
                  <c:v>-26413.91</c:v>
                </c:pt>
                <c:pt idx="10">
                  <c:v>-26413.91</c:v>
                </c:pt>
                <c:pt idx="11">
                  <c:v>-26413.91</c:v>
                </c:pt>
                <c:pt idx="12">
                  <c:v>-26413.91</c:v>
                </c:pt>
                <c:pt idx="13">
                  <c:v>-26413.91</c:v>
                </c:pt>
                <c:pt idx="14">
                  <c:v>-26413.91</c:v>
                </c:pt>
                <c:pt idx="15">
                  <c:v>-26413.91</c:v>
                </c:pt>
                <c:pt idx="16">
                  <c:v>-26413.91</c:v>
                </c:pt>
                <c:pt idx="17">
                  <c:v>-26413.91</c:v>
                </c:pt>
                <c:pt idx="18">
                  <c:v>-26413.91</c:v>
                </c:pt>
                <c:pt idx="19">
                  <c:v>-26413.91</c:v>
                </c:pt>
                <c:pt idx="20">
                  <c:v>-26413.91</c:v>
                </c:pt>
                <c:pt idx="21">
                  <c:v>-26413.91</c:v>
                </c:pt>
                <c:pt idx="22">
                  <c:v>-26413.91</c:v>
                </c:pt>
                <c:pt idx="23">
                  <c:v>-26413.91</c:v>
                </c:pt>
                <c:pt idx="24">
                  <c:v>-26413.91</c:v>
                </c:pt>
                <c:pt idx="25">
                  <c:v>-26413.91</c:v>
                </c:pt>
                <c:pt idx="26">
                  <c:v>-26413.91</c:v>
                </c:pt>
                <c:pt idx="27">
                  <c:v>-26413.91</c:v>
                </c:pt>
                <c:pt idx="28">
                  <c:v>-26413.91</c:v>
                </c:pt>
                <c:pt idx="29">
                  <c:v>-26413.91</c:v>
                </c:pt>
                <c:pt idx="30">
                  <c:v>-26413.91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-26413.91</c:v>
                </c:pt>
                <c:pt idx="1">
                  <c:v>-26413.91</c:v>
                </c:pt>
                <c:pt idx="2">
                  <c:v>-26413.91</c:v>
                </c:pt>
                <c:pt idx="3">
                  <c:v>-26413.91</c:v>
                </c:pt>
                <c:pt idx="4">
                  <c:v>-26413.91</c:v>
                </c:pt>
                <c:pt idx="5">
                  <c:v>-26413.91</c:v>
                </c:pt>
                <c:pt idx="6">
                  <c:v>-26413.91</c:v>
                </c:pt>
                <c:pt idx="7">
                  <c:v>-26413.91</c:v>
                </c:pt>
                <c:pt idx="8">
                  <c:v>-26413.91</c:v>
                </c:pt>
                <c:pt idx="9">
                  <c:v>-26413.91</c:v>
                </c:pt>
                <c:pt idx="10">
                  <c:v>-26413.91</c:v>
                </c:pt>
                <c:pt idx="11">
                  <c:v>-26413.91</c:v>
                </c:pt>
                <c:pt idx="12">
                  <c:v>-26413.91</c:v>
                </c:pt>
                <c:pt idx="13">
                  <c:v>-26413.91</c:v>
                </c:pt>
                <c:pt idx="14">
                  <c:v>-26413.91</c:v>
                </c:pt>
                <c:pt idx="15">
                  <c:v>-26413.91</c:v>
                </c:pt>
                <c:pt idx="16">
                  <c:v>-26413.91</c:v>
                </c:pt>
                <c:pt idx="17">
                  <c:v>-26413.91</c:v>
                </c:pt>
                <c:pt idx="18">
                  <c:v>-26413.91</c:v>
                </c:pt>
                <c:pt idx="19">
                  <c:v>-26413.91</c:v>
                </c:pt>
                <c:pt idx="20">
                  <c:v>-26413.91</c:v>
                </c:pt>
                <c:pt idx="21">
                  <c:v>-26413.91</c:v>
                </c:pt>
                <c:pt idx="22">
                  <c:v>-26413.91</c:v>
                </c:pt>
                <c:pt idx="23">
                  <c:v>-26413.91</c:v>
                </c:pt>
                <c:pt idx="24">
                  <c:v>-26413.91</c:v>
                </c:pt>
                <c:pt idx="25">
                  <c:v>-26413.91</c:v>
                </c:pt>
                <c:pt idx="26">
                  <c:v>-26413.91</c:v>
                </c:pt>
                <c:pt idx="27">
                  <c:v>-26413.91</c:v>
                </c:pt>
                <c:pt idx="28">
                  <c:v>-26413.91</c:v>
                </c:pt>
                <c:pt idx="29">
                  <c:v>-26413.91</c:v>
                </c:pt>
                <c:pt idx="30">
                  <c:v>-26413.91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553358</xdr:colOff>
      <xdr:row>45</xdr:row>
      <xdr:rowOff>127244</xdr:rowOff>
    </xdr:from>
    <xdr:to>
      <xdr:col>15</xdr:col>
      <xdr:colOff>460418</xdr:colOff>
      <xdr:row>65</xdr:row>
      <xdr:rowOff>87745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8FC4FAB5-C2A5-4520-B437-5DD76E9B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929" y="8808601"/>
          <a:ext cx="4542560" cy="3607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14</xdr:row>
      <xdr:rowOff>0</xdr:rowOff>
    </xdr:from>
    <xdr:to>
      <xdr:col>22</xdr:col>
      <xdr:colOff>127000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44</xdr:row>
      <xdr:rowOff>101600</xdr:rowOff>
    </xdr:from>
    <xdr:to>
      <xdr:col>22</xdr:col>
      <xdr:colOff>152400</xdr:colOff>
      <xdr:row>74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ortalrelatorios.aneel.gov.br/luznatarifa/basestarifas" TargetMode="Externa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Y81"/>
  <sheetViews>
    <sheetView topLeftCell="A58" zoomScale="70" zoomScaleNormal="70" workbookViewId="0">
      <selection activeCell="E29" sqref="E29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85" t="s">
        <v>0</v>
      </c>
      <c r="B1" s="85"/>
      <c r="C1" s="85"/>
      <c r="D1" s="85"/>
      <c r="E1" s="85"/>
    </row>
    <row r="3" spans="1:14" x14ac:dyDescent="0.35">
      <c r="A3" s="50" t="s">
        <v>101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103</v>
      </c>
      <c r="G5" s="11" t="s">
        <v>3</v>
      </c>
      <c r="H5" s="97" t="s">
        <v>1</v>
      </c>
      <c r="I5" s="98"/>
      <c r="J5" s="12"/>
    </row>
    <row r="6" spans="1:14" ht="15" thickBot="1" x14ac:dyDescent="0.4">
      <c r="A6" s="99" t="s">
        <v>29</v>
      </c>
      <c r="B6" s="99"/>
      <c r="C6" s="99"/>
      <c r="D6" s="99"/>
      <c r="E6" s="99"/>
      <c r="F6" s="99"/>
      <c r="H6" s="97" t="s">
        <v>2</v>
      </c>
      <c r="I6" s="120"/>
      <c r="J6" s="13"/>
    </row>
    <row r="7" spans="1:14" ht="15" thickBot="1" x14ac:dyDescent="0.4">
      <c r="A7" s="14" t="s">
        <v>27</v>
      </c>
      <c r="B7" s="15"/>
      <c r="C7" s="15"/>
      <c r="D7" s="15"/>
      <c r="E7" s="64"/>
      <c r="F7" s="75"/>
      <c r="G7" s="16" t="s">
        <v>37</v>
      </c>
      <c r="H7" s="8"/>
      <c r="I7" s="8"/>
      <c r="J7" s="8"/>
      <c r="L7" s="100" t="s">
        <v>140</v>
      </c>
      <c r="M7" s="101"/>
      <c r="N7" s="102"/>
    </row>
    <row r="8" spans="1:14" ht="15" thickBot="1" x14ac:dyDescent="0.4">
      <c r="A8" s="14" t="s">
        <v>28</v>
      </c>
      <c r="B8" s="15"/>
      <c r="C8" s="15"/>
      <c r="D8" s="15"/>
      <c r="E8" s="80"/>
      <c r="F8" s="7"/>
      <c r="H8" s="8"/>
      <c r="I8" s="8"/>
      <c r="J8" s="8"/>
      <c r="L8" s="103" t="s">
        <v>141</v>
      </c>
      <c r="M8" s="104"/>
      <c r="N8" s="105"/>
    </row>
    <row r="9" spans="1:14" ht="26.5" customHeight="1" thickBot="1" x14ac:dyDescent="0.4">
      <c r="A9" s="117" t="s">
        <v>4</v>
      </c>
      <c r="B9" s="117"/>
      <c r="C9" s="117"/>
      <c r="D9" s="118"/>
      <c r="E9" s="66" t="s">
        <v>14</v>
      </c>
      <c r="F9" s="7"/>
    </row>
    <row r="10" spans="1:14" ht="15" thickBot="1" x14ac:dyDescent="0.4">
      <c r="A10" s="86" t="s">
        <v>5</v>
      </c>
      <c r="B10" s="86"/>
      <c r="C10" s="86"/>
      <c r="D10" s="87"/>
      <c r="E10" s="64">
        <v>5</v>
      </c>
      <c r="F10" s="83" t="s">
        <v>114</v>
      </c>
      <c r="G10" s="96"/>
      <c r="H10" s="60" t="s">
        <v>26</v>
      </c>
      <c r="I10" s="61"/>
      <c r="J10" s="62"/>
      <c r="K10" s="108" t="s">
        <v>33</v>
      </c>
      <c r="L10" s="109"/>
      <c r="M10" s="110"/>
    </row>
    <row r="11" spans="1:14" ht="15" thickBot="1" x14ac:dyDescent="0.4">
      <c r="A11" s="86" t="s">
        <v>6</v>
      </c>
      <c r="B11" s="86"/>
      <c r="C11" s="86"/>
      <c r="D11" s="87"/>
      <c r="E11" s="64">
        <v>23</v>
      </c>
      <c r="F11" s="88" t="s">
        <v>115</v>
      </c>
      <c r="G11" s="89"/>
      <c r="H11" s="89"/>
      <c r="I11" s="89"/>
      <c r="J11" s="90"/>
      <c r="K11" s="111" t="s">
        <v>34</v>
      </c>
      <c r="L11" s="112"/>
      <c r="M11" s="113"/>
    </row>
    <row r="12" spans="1:14" ht="15" thickBot="1" x14ac:dyDescent="0.4">
      <c r="A12" s="86" t="s">
        <v>7</v>
      </c>
      <c r="B12" s="86"/>
      <c r="C12" s="86"/>
      <c r="D12" s="87"/>
      <c r="E12" s="64">
        <v>48</v>
      </c>
      <c r="F12" s="91" t="s">
        <v>116</v>
      </c>
      <c r="G12" s="92"/>
      <c r="H12" s="92"/>
      <c r="I12" s="92"/>
      <c r="J12" s="93"/>
      <c r="K12" s="114" t="s">
        <v>35</v>
      </c>
      <c r="L12" s="115"/>
      <c r="M12" s="116"/>
    </row>
    <row r="13" spans="1:14" ht="15" thickBot="1" x14ac:dyDescent="0.4">
      <c r="A13" s="86" t="s">
        <v>36</v>
      </c>
      <c r="B13" s="86"/>
      <c r="C13" s="86"/>
      <c r="D13" s="87"/>
      <c r="E13" s="64">
        <v>5.21</v>
      </c>
      <c r="F13" s="94" t="s">
        <v>104</v>
      </c>
      <c r="G13" s="95"/>
      <c r="H13" s="95"/>
      <c r="I13" s="95"/>
      <c r="J13" s="95"/>
    </row>
    <row r="14" spans="1:14" ht="15" thickBot="1" x14ac:dyDescent="0.4">
      <c r="A14" s="86" t="s">
        <v>31</v>
      </c>
      <c r="B14" s="86"/>
      <c r="C14" s="86"/>
      <c r="D14" s="87"/>
      <c r="E14" s="64">
        <v>0.44924999999999998</v>
      </c>
      <c r="F14" s="7" t="s">
        <v>142</v>
      </c>
    </row>
    <row r="15" spans="1:14" ht="15" thickBot="1" x14ac:dyDescent="0.4">
      <c r="A15" s="86" t="s">
        <v>32</v>
      </c>
      <c r="B15" s="86"/>
      <c r="C15" s="86"/>
      <c r="D15" s="87"/>
      <c r="E15" s="64">
        <v>0.29020000000000001</v>
      </c>
      <c r="F15" s="7" t="s">
        <v>105</v>
      </c>
    </row>
    <row r="16" spans="1:14" ht="15" thickBot="1" x14ac:dyDescent="0.4">
      <c r="A16" s="18" t="s">
        <v>157</v>
      </c>
      <c r="B16" s="19"/>
      <c r="C16" s="19"/>
      <c r="D16" s="19"/>
      <c r="E16" s="64">
        <v>0.16416</v>
      </c>
      <c r="F16" s="20" t="s">
        <v>106</v>
      </c>
      <c r="G16" s="20"/>
      <c r="H16" s="20"/>
      <c r="I16" s="20"/>
      <c r="J16" s="20"/>
    </row>
    <row r="17" spans="1:25" ht="15" thickBot="1" x14ac:dyDescent="0.4">
      <c r="A17" s="18" t="s">
        <v>158</v>
      </c>
      <c r="B17" s="19"/>
      <c r="C17" s="19"/>
      <c r="D17" s="19"/>
      <c r="E17" s="64">
        <v>0.27282000000000001</v>
      </c>
      <c r="F17" s="76" t="s">
        <v>153</v>
      </c>
      <c r="G17" s="16"/>
      <c r="H17" s="16"/>
      <c r="I17" s="16"/>
      <c r="J17" s="119" t="s">
        <v>154</v>
      </c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 spans="1:25" ht="15" thickBot="1" x14ac:dyDescent="0.4">
      <c r="A18" s="18" t="s">
        <v>159</v>
      </c>
      <c r="B18" s="19"/>
      <c r="C18" s="19"/>
      <c r="D18" s="19"/>
      <c r="E18" s="64">
        <v>0.16416</v>
      </c>
      <c r="F18" s="16" t="s">
        <v>155</v>
      </c>
      <c r="G18" s="16"/>
      <c r="H18" s="16"/>
      <c r="I18" s="1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spans="1:25" ht="15" thickBot="1" x14ac:dyDescent="0.4">
      <c r="A19" s="18" t="s">
        <v>156</v>
      </c>
      <c r="B19" s="19"/>
      <c r="C19" s="19"/>
      <c r="D19" s="19"/>
      <c r="E19" s="64">
        <v>3.7359999999999997E-2</v>
      </c>
      <c r="F19" s="77"/>
      <c r="G19" s="16"/>
      <c r="H19" s="16"/>
      <c r="I19" s="1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 ht="15" thickBot="1" x14ac:dyDescent="0.4">
      <c r="A20" s="18" t="s">
        <v>160</v>
      </c>
      <c r="B20" s="19"/>
      <c r="C20" s="19"/>
      <c r="D20" s="19"/>
      <c r="E20" s="64">
        <v>12.33</v>
      </c>
      <c r="F20" s="47"/>
      <c r="G20" s="20"/>
      <c r="H20" s="20"/>
      <c r="I20" s="20"/>
      <c r="J20" s="20"/>
    </row>
    <row r="21" spans="1:25" ht="15" thickBot="1" x14ac:dyDescent="0.4">
      <c r="A21" s="86" t="s">
        <v>102</v>
      </c>
      <c r="B21" s="86"/>
      <c r="C21" s="86"/>
      <c r="D21" s="87"/>
      <c r="E21" s="65"/>
      <c r="F21" s="106" t="s">
        <v>148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6"/>
      <c r="S21" s="16"/>
      <c r="T21" s="16"/>
      <c r="U21" s="16"/>
      <c r="V21" s="16"/>
    </row>
    <row r="22" spans="1:25" ht="15" thickBot="1" x14ac:dyDescent="0.4">
      <c r="A22" s="87" t="s">
        <v>137</v>
      </c>
      <c r="B22" s="121"/>
      <c r="C22" s="121"/>
      <c r="D22" s="122"/>
      <c r="E22" s="74">
        <v>0.9</v>
      </c>
      <c r="F22" s="16" t="s">
        <v>138</v>
      </c>
    </row>
    <row r="23" spans="1:25" ht="15" thickBot="1" x14ac:dyDescent="0.4">
      <c r="A23" s="86" t="s">
        <v>8</v>
      </c>
      <c r="B23" s="86"/>
      <c r="C23" s="86"/>
      <c r="D23" s="87"/>
      <c r="E23" s="64"/>
      <c r="F23" s="7" t="s">
        <v>117</v>
      </c>
    </row>
    <row r="24" spans="1:25" ht="15" thickBot="1" x14ac:dyDescent="0.4">
      <c r="A24" s="86" t="s">
        <v>9</v>
      </c>
      <c r="B24" s="86"/>
      <c r="C24" s="86"/>
      <c r="D24" s="87"/>
      <c r="E24" s="64">
        <v>0.8</v>
      </c>
      <c r="F24" s="7" t="s">
        <v>15</v>
      </c>
    </row>
    <row r="25" spans="1:25" ht="15" thickBot="1" x14ac:dyDescent="0.4">
      <c r="A25" s="86" t="s">
        <v>73</v>
      </c>
      <c r="B25" s="86"/>
      <c r="C25" s="86"/>
      <c r="D25" s="87"/>
      <c r="E25" s="64">
        <v>550</v>
      </c>
      <c r="F25" s="7" t="s">
        <v>107</v>
      </c>
    </row>
    <row r="26" spans="1:25" ht="15" thickBot="1" x14ac:dyDescent="0.4">
      <c r="A26" s="86" t="s">
        <v>10</v>
      </c>
      <c r="B26" s="86"/>
      <c r="C26" s="86"/>
      <c r="D26" s="87"/>
      <c r="E26" s="64">
        <v>1.1499999999999999</v>
      </c>
      <c r="F26" s="7" t="s">
        <v>108</v>
      </c>
    </row>
    <row r="27" spans="1:25" ht="15" thickBot="1" x14ac:dyDescent="0.4">
      <c r="A27" s="86" t="s">
        <v>11</v>
      </c>
      <c r="B27" s="86"/>
      <c r="C27" s="86"/>
      <c r="D27" s="87"/>
      <c r="E27" s="64">
        <v>49.6</v>
      </c>
      <c r="F27" s="7" t="s">
        <v>109</v>
      </c>
    </row>
    <row r="28" spans="1:25" ht="15" thickBot="1" x14ac:dyDescent="0.4">
      <c r="A28" s="17" t="s">
        <v>13</v>
      </c>
      <c r="B28" s="17"/>
      <c r="C28" s="17"/>
      <c r="D28" s="18"/>
      <c r="E28" s="64">
        <v>-2.8999999999999998E-3</v>
      </c>
      <c r="F28" s="7" t="s">
        <v>110</v>
      </c>
    </row>
    <row r="29" spans="1:25" ht="15" thickBot="1" x14ac:dyDescent="0.4">
      <c r="A29" s="86" t="s">
        <v>12</v>
      </c>
      <c r="B29" s="86"/>
      <c r="C29" s="86"/>
      <c r="D29" s="87"/>
      <c r="E29" s="64"/>
      <c r="F29" s="7" t="s">
        <v>111</v>
      </c>
    </row>
    <row r="31" spans="1:25" ht="15" thickBot="1" x14ac:dyDescent="0.4">
      <c r="A31" s="99" t="s">
        <v>30</v>
      </c>
      <c r="B31" s="99"/>
      <c r="C31" s="99"/>
      <c r="D31" s="99"/>
      <c r="E31" s="99"/>
      <c r="F31" s="99"/>
    </row>
    <row r="32" spans="1:25" ht="15" thickBot="1" x14ac:dyDescent="0.4">
      <c r="A32" s="86" t="s">
        <v>16</v>
      </c>
      <c r="B32" s="86"/>
      <c r="C32" s="86"/>
      <c r="D32" s="87"/>
      <c r="E32" s="67">
        <f>E23</f>
        <v>0</v>
      </c>
      <c r="F32" s="7" t="s">
        <v>25</v>
      </c>
    </row>
    <row r="33" spans="1:10" ht="15" thickBot="1" x14ac:dyDescent="0.4">
      <c r="A33" s="86" t="s">
        <v>38</v>
      </c>
      <c r="B33" s="86"/>
      <c r="C33" s="86"/>
      <c r="D33" s="87"/>
      <c r="E33" s="67">
        <f>(E14+E15)</f>
        <v>0.73944999999999994</v>
      </c>
      <c r="F33" s="7" t="s">
        <v>118</v>
      </c>
    </row>
    <row r="34" spans="1:10" ht="15" thickBot="1" x14ac:dyDescent="0.4">
      <c r="A34" s="86" t="s">
        <v>40</v>
      </c>
      <c r="B34" s="86"/>
      <c r="C34" s="86"/>
      <c r="D34" s="87"/>
      <c r="E34" s="67">
        <f>$E$14+$E$15*(1-Payback!$E$13)</f>
        <v>0.65239000000000003</v>
      </c>
      <c r="F34" s="7" t="s">
        <v>118</v>
      </c>
    </row>
    <row r="35" spans="1:10" ht="15" thickBot="1" x14ac:dyDescent="0.4">
      <c r="A35" s="87" t="s">
        <v>39</v>
      </c>
      <c r="B35" s="121"/>
      <c r="C35" s="121"/>
      <c r="D35" s="121"/>
      <c r="E35" s="67">
        <f>E16+E17</f>
        <v>0.43698000000000004</v>
      </c>
      <c r="F35" s="7" t="s">
        <v>118</v>
      </c>
    </row>
    <row r="36" spans="1:10" ht="15" thickBot="1" x14ac:dyDescent="0.4">
      <c r="A36" s="87" t="s">
        <v>136</v>
      </c>
      <c r="B36" s="121"/>
      <c r="C36" s="121"/>
      <c r="D36" s="122"/>
      <c r="E36" s="67">
        <f>$E$19+$E$18*(1-Payback!$E$13)</f>
        <v>0.15227199999999999</v>
      </c>
      <c r="F36" s="7" t="s">
        <v>147</v>
      </c>
    </row>
    <row r="37" spans="1:10" ht="15" thickBot="1" x14ac:dyDescent="0.4">
      <c r="A37" s="17" t="s">
        <v>139</v>
      </c>
      <c r="B37" s="17"/>
      <c r="C37" s="17"/>
      <c r="D37" s="18"/>
      <c r="E37" s="67">
        <f>E42/1000</f>
        <v>0</v>
      </c>
      <c r="F37" s="7" t="s">
        <v>161</v>
      </c>
    </row>
    <row r="38" spans="1:10" ht="15" thickBot="1" x14ac:dyDescent="0.4">
      <c r="A38" s="86" t="s">
        <v>19</v>
      </c>
      <c r="B38" s="86"/>
      <c r="C38" s="86"/>
      <c r="D38" s="87"/>
      <c r="E38" s="78">
        <f>E32*1000/(30*E24*E13)</f>
        <v>0</v>
      </c>
      <c r="F38" s="83" t="s">
        <v>113</v>
      </c>
      <c r="G38" s="84"/>
      <c r="H38" s="84"/>
      <c r="I38" s="84"/>
      <c r="J38" s="84"/>
    </row>
    <row r="39" spans="1:10" ht="15" thickBot="1" x14ac:dyDescent="0.4">
      <c r="A39" s="86" t="s">
        <v>17</v>
      </c>
      <c r="B39" s="86"/>
      <c r="C39" s="86"/>
      <c r="D39" s="87"/>
      <c r="E39" s="67">
        <f>ROUNDUP(E38/E25,0)</f>
        <v>0</v>
      </c>
      <c r="F39" s="7" t="s">
        <v>112</v>
      </c>
    </row>
    <row r="40" spans="1:10" ht="15" thickBot="1" x14ac:dyDescent="0.4">
      <c r="A40" s="86" t="s">
        <v>18</v>
      </c>
      <c r="B40" s="86"/>
      <c r="C40" s="86"/>
      <c r="D40" s="87"/>
      <c r="E40" s="67" t="e">
        <f>ROUND(E39/E29,0)</f>
        <v>#DIV/0!</v>
      </c>
      <c r="F40" s="7"/>
    </row>
    <row r="41" spans="1:10" ht="15" thickBot="1" x14ac:dyDescent="0.4">
      <c r="A41" s="86" t="s">
        <v>20</v>
      </c>
      <c r="B41" s="86"/>
      <c r="C41" s="86"/>
      <c r="D41" s="87"/>
      <c r="E41" s="67">
        <f>E39*E25</f>
        <v>0</v>
      </c>
      <c r="F41" s="7" t="s">
        <v>119</v>
      </c>
    </row>
    <row r="42" spans="1:10" ht="15" thickBot="1" x14ac:dyDescent="0.4">
      <c r="A42" s="86" t="s">
        <v>21</v>
      </c>
      <c r="B42" s="86"/>
      <c r="C42" s="86"/>
      <c r="D42" s="87"/>
      <c r="E42" s="67">
        <f>E41/E26</f>
        <v>0</v>
      </c>
      <c r="F42" s="16" t="s">
        <v>144</v>
      </c>
    </row>
    <row r="43" spans="1:10" ht="15" thickBot="1" x14ac:dyDescent="0.4">
      <c r="A43" s="86" t="s">
        <v>22</v>
      </c>
      <c r="B43" s="86"/>
      <c r="C43" s="86"/>
      <c r="D43" s="87"/>
      <c r="E43" s="67">
        <f>30*E13*E24*E41/1000</f>
        <v>0</v>
      </c>
      <c r="F43" s="7" t="s">
        <v>120</v>
      </c>
    </row>
    <row r="44" spans="1:10" ht="15" thickBot="1" x14ac:dyDescent="0.4">
      <c r="A44" s="86" t="s">
        <v>23</v>
      </c>
      <c r="B44" s="86"/>
      <c r="C44" s="86"/>
      <c r="D44" s="87"/>
      <c r="E44" s="67" t="e">
        <f>E27*(1+(E10-25)*E28)*E40</f>
        <v>#DIV/0!</v>
      </c>
      <c r="F44" s="7" t="s">
        <v>121</v>
      </c>
    </row>
    <row r="45" spans="1:10" ht="15" thickBot="1" x14ac:dyDescent="0.4">
      <c r="A45" s="86" t="s">
        <v>24</v>
      </c>
      <c r="B45" s="86"/>
      <c r="C45" s="86"/>
      <c r="D45" s="87"/>
      <c r="E45" s="67">
        <f>IF(E11&lt;10,10,IF(E11&lt;=20,E11,IF(E11&lt;=30,E11+5,IF(E11&lt;=40,E11+10,E11+15))))</f>
        <v>28</v>
      </c>
      <c r="F45" s="7" t="s">
        <v>143</v>
      </c>
    </row>
    <row r="47" spans="1:10" x14ac:dyDescent="0.35">
      <c r="A47" s="139" t="s">
        <v>41</v>
      </c>
      <c r="B47" s="139"/>
      <c r="C47" s="139"/>
      <c r="D47" s="139"/>
      <c r="E47" s="139"/>
      <c r="F47" s="139"/>
      <c r="G47" s="139"/>
    </row>
    <row r="48" spans="1:10" x14ac:dyDescent="0.35">
      <c r="A48" s="126" t="s">
        <v>42</v>
      </c>
      <c r="B48" s="126"/>
      <c r="C48" s="126"/>
      <c r="D48" s="126"/>
      <c r="E48" s="21" t="s">
        <v>55</v>
      </c>
      <c r="F48" s="21" t="s">
        <v>57</v>
      </c>
      <c r="G48" s="21" t="s">
        <v>56</v>
      </c>
    </row>
    <row r="49" spans="1:7" x14ac:dyDescent="0.35">
      <c r="A49" s="124" t="s">
        <v>43</v>
      </c>
      <c r="B49" s="124"/>
      <c r="C49" s="124"/>
      <c r="D49" s="125"/>
      <c r="E49" s="22"/>
      <c r="F49" s="22"/>
      <c r="G49" s="23">
        <f>E49*F49</f>
        <v>0</v>
      </c>
    </row>
    <row r="50" spans="1:7" x14ac:dyDescent="0.35">
      <c r="A50" s="124" t="s">
        <v>44</v>
      </c>
      <c r="B50" s="124"/>
      <c r="C50" s="124"/>
      <c r="D50" s="125"/>
      <c r="E50" s="22"/>
      <c r="F50" s="22"/>
      <c r="G50" s="23">
        <f t="shared" ref="G50:G64" si="0">E50*F50</f>
        <v>0</v>
      </c>
    </row>
    <row r="51" spans="1:7" x14ac:dyDescent="0.35">
      <c r="A51" s="124" t="s">
        <v>45</v>
      </c>
      <c r="B51" s="124"/>
      <c r="C51" s="124"/>
      <c r="D51" s="125"/>
      <c r="E51" s="22"/>
      <c r="F51" s="22"/>
      <c r="G51" s="23">
        <f t="shared" si="0"/>
        <v>0</v>
      </c>
    </row>
    <row r="52" spans="1:7" x14ac:dyDescent="0.35">
      <c r="A52" s="124" t="s">
        <v>46</v>
      </c>
      <c r="B52" s="124"/>
      <c r="C52" s="124"/>
      <c r="D52" s="125"/>
      <c r="E52" s="22"/>
      <c r="F52" s="22"/>
      <c r="G52" s="23">
        <f t="shared" si="0"/>
        <v>0</v>
      </c>
    </row>
    <row r="53" spans="1:7" x14ac:dyDescent="0.35">
      <c r="A53" s="124" t="s">
        <v>47</v>
      </c>
      <c r="B53" s="124"/>
      <c r="C53" s="124"/>
      <c r="D53" s="125"/>
      <c r="E53" s="22"/>
      <c r="F53" s="22"/>
      <c r="G53" s="23">
        <f t="shared" si="0"/>
        <v>0</v>
      </c>
    </row>
    <row r="54" spans="1:7" x14ac:dyDescent="0.35">
      <c r="A54" s="124" t="s">
        <v>47</v>
      </c>
      <c r="B54" s="124"/>
      <c r="C54" s="124"/>
      <c r="D54" s="125"/>
      <c r="E54" s="22"/>
      <c r="F54" s="22"/>
      <c r="G54" s="23">
        <f t="shared" si="0"/>
        <v>0</v>
      </c>
    </row>
    <row r="55" spans="1:7" x14ac:dyDescent="0.35">
      <c r="A55" s="124" t="s">
        <v>47</v>
      </c>
      <c r="B55" s="124"/>
      <c r="C55" s="124"/>
      <c r="D55" s="125"/>
      <c r="E55" s="22"/>
      <c r="F55" s="22"/>
      <c r="G55" s="23">
        <f t="shared" si="0"/>
        <v>0</v>
      </c>
    </row>
    <row r="56" spans="1:7" x14ac:dyDescent="0.35">
      <c r="A56" s="124" t="s">
        <v>48</v>
      </c>
      <c r="B56" s="124"/>
      <c r="C56" s="124"/>
      <c r="D56" s="125"/>
      <c r="E56" s="22"/>
      <c r="F56" s="22"/>
      <c r="G56" s="23">
        <f t="shared" si="0"/>
        <v>0</v>
      </c>
    </row>
    <row r="57" spans="1:7" x14ac:dyDescent="0.35">
      <c r="A57" s="124" t="s">
        <v>49</v>
      </c>
      <c r="B57" s="124"/>
      <c r="C57" s="124"/>
      <c r="D57" s="125"/>
      <c r="E57" s="22"/>
      <c r="F57" s="22"/>
      <c r="G57" s="23">
        <f t="shared" si="0"/>
        <v>0</v>
      </c>
    </row>
    <row r="58" spans="1:7" x14ac:dyDescent="0.35">
      <c r="A58" s="124" t="s">
        <v>50</v>
      </c>
      <c r="B58" s="124"/>
      <c r="C58" s="124"/>
      <c r="D58" s="125"/>
      <c r="E58" s="22"/>
      <c r="F58" s="22"/>
      <c r="G58" s="23">
        <f t="shared" si="0"/>
        <v>0</v>
      </c>
    </row>
    <row r="59" spans="1:7" x14ac:dyDescent="0.35">
      <c r="A59" s="124" t="s">
        <v>51</v>
      </c>
      <c r="B59" s="124"/>
      <c r="C59" s="124"/>
      <c r="D59" s="125"/>
      <c r="E59" s="22"/>
      <c r="F59" s="22"/>
      <c r="G59" s="23">
        <f t="shared" si="0"/>
        <v>0</v>
      </c>
    </row>
    <row r="60" spans="1:7" x14ac:dyDescent="0.35">
      <c r="A60" s="124" t="s">
        <v>52</v>
      </c>
      <c r="B60" s="124"/>
      <c r="C60" s="124"/>
      <c r="D60" s="125"/>
      <c r="E60" s="22"/>
      <c r="F60" s="22"/>
      <c r="G60" s="23">
        <f t="shared" si="0"/>
        <v>0</v>
      </c>
    </row>
    <row r="61" spans="1:7" x14ac:dyDescent="0.35">
      <c r="A61" s="124" t="s">
        <v>71</v>
      </c>
      <c r="B61" s="124"/>
      <c r="C61" s="124"/>
      <c r="D61" s="125"/>
      <c r="E61" s="22"/>
      <c r="F61" s="22"/>
      <c r="G61" s="23">
        <f t="shared" si="0"/>
        <v>0</v>
      </c>
    </row>
    <row r="62" spans="1:7" x14ac:dyDescent="0.35">
      <c r="A62" s="124" t="s">
        <v>72</v>
      </c>
      <c r="B62" s="124"/>
      <c r="C62" s="124"/>
      <c r="D62" s="125"/>
      <c r="E62" s="22"/>
      <c r="F62" s="22"/>
      <c r="G62" s="23">
        <f t="shared" si="0"/>
        <v>0</v>
      </c>
    </row>
    <row r="63" spans="1:7" x14ac:dyDescent="0.35">
      <c r="A63" s="124" t="s">
        <v>53</v>
      </c>
      <c r="B63" s="124"/>
      <c r="C63" s="124"/>
      <c r="D63" s="125"/>
      <c r="E63" s="22"/>
      <c r="F63" s="22"/>
      <c r="G63" s="23">
        <f t="shared" si="0"/>
        <v>0</v>
      </c>
    </row>
    <row r="64" spans="1:7" ht="15" thickBot="1" x14ac:dyDescent="0.4">
      <c r="A64" s="124" t="s">
        <v>54</v>
      </c>
      <c r="B64" s="124"/>
      <c r="C64" s="124"/>
      <c r="D64" s="125"/>
      <c r="E64" s="24"/>
      <c r="F64" s="24"/>
      <c r="G64" s="25">
        <f t="shared" si="0"/>
        <v>0</v>
      </c>
    </row>
    <row r="65" spans="1:10" ht="15" thickBot="1" x14ac:dyDescent="0.4">
      <c r="E65" s="26" t="s">
        <v>59</v>
      </c>
      <c r="F65" s="27"/>
      <c r="G65" s="44">
        <f>SUM(G49:G64)</f>
        <v>0</v>
      </c>
      <c r="H65" s="7" t="s">
        <v>122</v>
      </c>
    </row>
    <row r="66" spans="1:10" ht="15" thickBot="1" x14ac:dyDescent="0.4">
      <c r="E66" s="26" t="s">
        <v>60</v>
      </c>
      <c r="F66" s="27"/>
      <c r="G66" s="45">
        <v>18558.099999999999</v>
      </c>
      <c r="H66" s="7" t="s">
        <v>123</v>
      </c>
    </row>
    <row r="67" spans="1:10" ht="15" thickBot="1" x14ac:dyDescent="0.4">
      <c r="E67" s="26" t="s">
        <v>58</v>
      </c>
      <c r="F67" s="27"/>
      <c r="G67" s="46">
        <v>2</v>
      </c>
      <c r="J67" s="1" t="s">
        <v>171</v>
      </c>
    </row>
    <row r="68" spans="1:10" ht="15" thickBot="1" x14ac:dyDescent="0.4"/>
    <row r="69" spans="1:10" ht="15" thickBot="1" x14ac:dyDescent="0.4">
      <c r="E69" s="131" t="s">
        <v>61</v>
      </c>
      <c r="F69" s="132"/>
      <c r="G69" s="135">
        <f>IF(G67=1,G65,G66)</f>
        <v>18558.099999999999</v>
      </c>
      <c r="H69" s="136"/>
    </row>
    <row r="70" spans="1:10" s="43" customFormat="1" ht="29" customHeight="1" thickBot="1" x14ac:dyDescent="0.4">
      <c r="E70" s="133" t="s">
        <v>99</v>
      </c>
      <c r="F70" s="134"/>
      <c r="G70" s="137">
        <f>0.1*G69</f>
        <v>1855.81</v>
      </c>
      <c r="H70" s="138"/>
    </row>
    <row r="71" spans="1:10" ht="15" thickBot="1" x14ac:dyDescent="0.4">
      <c r="E71" s="41" t="s">
        <v>62</v>
      </c>
      <c r="F71" s="42"/>
      <c r="G71" s="135">
        <v>2000</v>
      </c>
      <c r="H71" s="136"/>
    </row>
    <row r="72" spans="1:10" ht="15" thickBot="1" x14ac:dyDescent="0.4">
      <c r="E72" s="41" t="s">
        <v>63</v>
      </c>
      <c r="F72" s="42"/>
      <c r="G72" s="127">
        <v>4000</v>
      </c>
      <c r="H72" s="128"/>
    </row>
    <row r="73" spans="1:10" ht="15" thickBot="1" x14ac:dyDescent="0.4">
      <c r="E73" s="41" t="s">
        <v>64</v>
      </c>
      <c r="F73" s="42"/>
      <c r="G73" s="127">
        <v>0</v>
      </c>
      <c r="H73" s="128"/>
    </row>
    <row r="74" spans="1:10" ht="15" thickBot="1" x14ac:dyDescent="0.4">
      <c r="E74" s="41" t="s">
        <v>65</v>
      </c>
      <c r="F74" s="42"/>
      <c r="G74" s="127">
        <v>0</v>
      </c>
      <c r="H74" s="128"/>
    </row>
    <row r="75" spans="1:10" ht="15" thickBot="1" x14ac:dyDescent="0.4">
      <c r="A75" s="1" t="s">
        <v>67</v>
      </c>
      <c r="F75" s="28" t="s">
        <v>69</v>
      </c>
      <c r="G75" s="129">
        <f>SUM(G69:G72)</f>
        <v>26413.91</v>
      </c>
      <c r="H75" s="130"/>
    </row>
    <row r="76" spans="1:10" ht="15.5" x14ac:dyDescent="0.35">
      <c r="A76" s="123" t="s">
        <v>68</v>
      </c>
      <c r="B76" s="123"/>
      <c r="C76" s="123"/>
      <c r="D76" s="123"/>
      <c r="E76" s="123"/>
    </row>
    <row r="77" spans="1:10" x14ac:dyDescent="0.35">
      <c r="A77" s="29" t="s">
        <v>70</v>
      </c>
      <c r="D77" s="30" t="e">
        <f>G75/E41</f>
        <v>#DIV/0!</v>
      </c>
      <c r="E77" s="31" t="s">
        <v>66</v>
      </c>
      <c r="F77" s="29" t="s">
        <v>162</v>
      </c>
    </row>
    <row r="79" spans="1:10" x14ac:dyDescent="0.35">
      <c r="A79" s="1" t="s">
        <v>146</v>
      </c>
    </row>
    <row r="81" spans="1:1" x14ac:dyDescent="0.35">
      <c r="A81" s="1" t="s">
        <v>168</v>
      </c>
    </row>
  </sheetData>
  <mergeCells count="73">
    <mergeCell ref="G74:H74"/>
    <mergeCell ref="G75:H75"/>
    <mergeCell ref="E69:F69"/>
    <mergeCell ref="E70:F70"/>
    <mergeCell ref="A22:D22"/>
    <mergeCell ref="G69:H69"/>
    <mergeCell ref="G70:H70"/>
    <mergeCell ref="G71:H71"/>
    <mergeCell ref="G72:H72"/>
    <mergeCell ref="G73:H73"/>
    <mergeCell ref="A34:D34"/>
    <mergeCell ref="A35:D35"/>
    <mergeCell ref="A47:G47"/>
    <mergeCell ref="A50:D50"/>
    <mergeCell ref="A51:D51"/>
    <mergeCell ref="A43:D43"/>
    <mergeCell ref="A76:E76"/>
    <mergeCell ref="A62:D62"/>
    <mergeCell ref="A63:D63"/>
    <mergeCell ref="A64:D64"/>
    <mergeCell ref="A48:D48"/>
    <mergeCell ref="A57:D57"/>
    <mergeCell ref="A58:D58"/>
    <mergeCell ref="A59:D59"/>
    <mergeCell ref="A60:D60"/>
    <mergeCell ref="A61:D61"/>
    <mergeCell ref="A52:D52"/>
    <mergeCell ref="A53:D53"/>
    <mergeCell ref="A54:D54"/>
    <mergeCell ref="A55:D55"/>
    <mergeCell ref="A56:D56"/>
    <mergeCell ref="A49:D49"/>
    <mergeCell ref="A24:D24"/>
    <mergeCell ref="A44:D44"/>
    <mergeCell ref="A45:D45"/>
    <mergeCell ref="A36:D36"/>
    <mergeCell ref="A38:D38"/>
    <mergeCell ref="A39:D39"/>
    <mergeCell ref="A40:D40"/>
    <mergeCell ref="A41:D41"/>
    <mergeCell ref="A42:D42"/>
    <mergeCell ref="L7:N7"/>
    <mergeCell ref="L8:N8"/>
    <mergeCell ref="A31:F31"/>
    <mergeCell ref="F21:Q21"/>
    <mergeCell ref="K10:M10"/>
    <mergeCell ref="K11:M11"/>
    <mergeCell ref="K12:M12"/>
    <mergeCell ref="A9:D9"/>
    <mergeCell ref="A10:D10"/>
    <mergeCell ref="J17:Y17"/>
    <mergeCell ref="A11:D11"/>
    <mergeCell ref="A12:D12"/>
    <mergeCell ref="A14:D14"/>
    <mergeCell ref="A15:D15"/>
    <mergeCell ref="A21:D21"/>
    <mergeCell ref="A23:D23"/>
    <mergeCell ref="F38:J38"/>
    <mergeCell ref="A1:E1"/>
    <mergeCell ref="A13:D13"/>
    <mergeCell ref="F11:J11"/>
    <mergeCell ref="F12:J12"/>
    <mergeCell ref="F13:J13"/>
    <mergeCell ref="F10:G10"/>
    <mergeCell ref="A33:D33"/>
    <mergeCell ref="A25:D25"/>
    <mergeCell ref="A26:D26"/>
    <mergeCell ref="A27:D27"/>
    <mergeCell ref="A29:D29"/>
    <mergeCell ref="H5:I5"/>
    <mergeCell ref="A6:F6"/>
    <mergeCell ref="H6:I6"/>
    <mergeCell ref="A32:D32"/>
  </mergeCells>
  <hyperlinks>
    <hyperlink ref="F21" r:id="rId1" location=":~:text=Para%20se%20obter%20o%20valor,Tarifas%20%3E%3E%20Relat%C3%B3rios%20e%20Indicadores." xr:uid="{69D62B3B-95BD-4BDD-AB97-7CC97E99C2C4}"/>
    <hyperlink ref="F17" r:id="rId2" xr:uid="{E5C468C8-DE97-44A0-A375-BFBAB5DD7A4A}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R58"/>
  <sheetViews>
    <sheetView tabSelected="1" zoomScale="85" zoomScaleNormal="85" workbookViewId="0">
      <selection activeCell="E10" sqref="E10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8" ht="20.5" customHeight="1" thickBot="1" x14ac:dyDescent="0.4">
      <c r="B1" s="141" t="s">
        <v>81</v>
      </c>
      <c r="C1" s="141"/>
      <c r="D1" s="141"/>
    </row>
    <row r="2" spans="2:18" thickBot="1" x14ac:dyDescent="0.4">
      <c r="G2" s="97" t="s">
        <v>1</v>
      </c>
      <c r="H2" s="98"/>
      <c r="I2" s="12"/>
      <c r="O2" s="2" t="s">
        <v>132</v>
      </c>
    </row>
    <row r="3" spans="2:18" ht="15.5" thickTop="1" thickBot="1" x14ac:dyDescent="0.4">
      <c r="B3" s="2" t="s">
        <v>74</v>
      </c>
      <c r="E3" s="2" t="s">
        <v>82</v>
      </c>
      <c r="G3" s="97" t="s">
        <v>2</v>
      </c>
      <c r="H3" s="120"/>
      <c r="I3" s="13"/>
      <c r="O3" s="6" t="s">
        <v>163</v>
      </c>
      <c r="P3" s="79">
        <f>IF(Dimensionamento!$E$7="A",Dimensionamento!$E$17,Dimensionamento!$E$15)</f>
        <v>0.29020000000000001</v>
      </c>
      <c r="Q3" s="72" t="s">
        <v>165</v>
      </c>
      <c r="R3" s="54">
        <f>Dimensionamento!$E$19</f>
        <v>3.7359999999999997E-2</v>
      </c>
    </row>
    <row r="4" spans="2:18" ht="15" customHeight="1" thickTop="1" thickBot="1" x14ac:dyDescent="0.4">
      <c r="B4" s="142" t="s">
        <v>75</v>
      </c>
      <c r="C4" s="143"/>
      <c r="D4" s="144"/>
      <c r="E4" s="63">
        <v>0.05</v>
      </c>
      <c r="F4" s="3" t="s">
        <v>83</v>
      </c>
      <c r="H4" s="3" t="s">
        <v>124</v>
      </c>
      <c r="O4" s="6" t="s">
        <v>164</v>
      </c>
      <c r="P4" s="54">
        <f>IF(Dimensionamento!$E$7="A",Dimensionamento!$E$16,Dimensionamento!$E$14)</f>
        <v>0.44924999999999998</v>
      </c>
      <c r="Q4" s="72" t="s">
        <v>166</v>
      </c>
      <c r="R4" s="54">
        <f>Dimensionamento!$E$18</f>
        <v>0.16416</v>
      </c>
    </row>
    <row r="5" spans="2:18" ht="15" customHeight="1" thickTop="1" thickBot="1" x14ac:dyDescent="0.4">
      <c r="B5" s="148" t="s">
        <v>95</v>
      </c>
      <c r="C5" s="149"/>
      <c r="D5" s="150"/>
      <c r="E5" s="63">
        <v>0.3</v>
      </c>
      <c r="F5" s="3" t="s">
        <v>167</v>
      </c>
      <c r="O5" s="6" t="s">
        <v>130</v>
      </c>
      <c r="P5" s="81">
        <f>Dimensionamento!E21</f>
        <v>0</v>
      </c>
      <c r="Q5" s="73" t="s">
        <v>152</v>
      </c>
      <c r="R5" s="73"/>
    </row>
    <row r="6" spans="2:18" ht="15.5" thickTop="1" thickBot="1" x14ac:dyDescent="0.4">
      <c r="B6" s="145" t="s">
        <v>94</v>
      </c>
      <c r="C6" s="146"/>
      <c r="D6" s="147"/>
      <c r="E6" s="63">
        <v>0.1</v>
      </c>
      <c r="F6" s="3" t="s">
        <v>83</v>
      </c>
      <c r="H6" s="3" t="s">
        <v>125</v>
      </c>
      <c r="O6" s="6" t="s">
        <v>133</v>
      </c>
      <c r="P6" s="82">
        <f>Dimensionamento!$E$22</f>
        <v>0.9</v>
      </c>
      <c r="Q6" s="3" t="s">
        <v>151</v>
      </c>
    </row>
    <row r="7" spans="2:18" thickBot="1" x14ac:dyDescent="0.4">
      <c r="B7" s="151" t="s">
        <v>76</v>
      </c>
      <c r="C7" s="152"/>
      <c r="D7" s="153"/>
      <c r="E7" s="55">
        <v>15</v>
      </c>
      <c r="F7" s="3" t="s">
        <v>84</v>
      </c>
      <c r="H7" s="3" t="s">
        <v>126</v>
      </c>
    </row>
    <row r="8" spans="2:18" thickBot="1" x14ac:dyDescent="0.4">
      <c r="B8" s="151" t="s">
        <v>77</v>
      </c>
      <c r="C8" s="152"/>
      <c r="D8" s="153"/>
      <c r="E8" s="63">
        <v>0.01</v>
      </c>
      <c r="F8" s="4" t="s">
        <v>145</v>
      </c>
    </row>
    <row r="9" spans="2:18" thickBot="1" x14ac:dyDescent="0.4">
      <c r="B9" s="142" t="s">
        <v>78</v>
      </c>
      <c r="C9" s="143"/>
      <c r="D9" s="144"/>
      <c r="E9" s="63">
        <v>0.7</v>
      </c>
      <c r="F9" s="5" t="s">
        <v>127</v>
      </c>
    </row>
    <row r="10" spans="2:18" thickBot="1" x14ac:dyDescent="0.4">
      <c r="B10" s="145" t="s">
        <v>79</v>
      </c>
      <c r="C10" s="146"/>
      <c r="D10" s="147"/>
      <c r="E10" s="56">
        <v>0.02</v>
      </c>
      <c r="F10" s="3" t="s">
        <v>128</v>
      </c>
    </row>
    <row r="11" spans="2:18" thickBot="1" x14ac:dyDescent="0.4">
      <c r="B11" s="145" t="s">
        <v>80</v>
      </c>
      <c r="C11" s="146"/>
      <c r="D11" s="147"/>
      <c r="E11" s="56">
        <v>8.0000000000000002E-3</v>
      </c>
      <c r="F11" s="3" t="s">
        <v>129</v>
      </c>
    </row>
    <row r="12" spans="2:18" ht="14" customHeight="1" thickBot="1" x14ac:dyDescent="0.4">
      <c r="B12" s="6" t="s">
        <v>100</v>
      </c>
      <c r="C12" s="48"/>
      <c r="D12" s="48"/>
      <c r="E12" s="55">
        <v>2</v>
      </c>
      <c r="F12" s="3" t="s">
        <v>131</v>
      </c>
    </row>
    <row r="13" spans="2:18" ht="14" customHeight="1" thickBot="1" x14ac:dyDescent="0.4">
      <c r="B13" s="148" t="s">
        <v>149</v>
      </c>
      <c r="C13" s="149"/>
      <c r="D13" s="150"/>
      <c r="E13" s="63">
        <v>0.3</v>
      </c>
      <c r="F13" s="3" t="s">
        <v>150</v>
      </c>
    </row>
    <row r="14" spans="2:18" ht="33.5" customHeight="1" thickBot="1" x14ac:dyDescent="0.4">
      <c r="J14" s="10" t="s">
        <v>97</v>
      </c>
      <c r="L14" s="9" t="s">
        <v>98</v>
      </c>
    </row>
    <row r="15" spans="2:18" ht="85" customHeight="1" thickBot="1" x14ac:dyDescent="0.4">
      <c r="C15" s="32" t="s">
        <v>85</v>
      </c>
      <c r="D15" s="32" t="s">
        <v>86</v>
      </c>
      <c r="E15" s="32" t="s">
        <v>96</v>
      </c>
      <c r="F15" s="32" t="s">
        <v>93</v>
      </c>
      <c r="G15" s="32" t="s">
        <v>87</v>
      </c>
      <c r="H15" s="32" t="s">
        <v>88</v>
      </c>
      <c r="I15" s="32" t="s">
        <v>89</v>
      </c>
      <c r="J15" s="32" t="s">
        <v>90</v>
      </c>
      <c r="K15" s="32" t="s">
        <v>91</v>
      </c>
      <c r="L15" s="32" t="s">
        <v>92</v>
      </c>
    </row>
    <row r="16" spans="2:18" ht="15" customHeight="1" x14ac:dyDescent="0.35">
      <c r="C16" s="33">
        <v>0</v>
      </c>
      <c r="D16" s="34"/>
      <c r="E16" s="34"/>
      <c r="F16" s="34"/>
      <c r="G16" s="34"/>
      <c r="H16" s="34"/>
      <c r="I16" s="71">
        <f>-Dimensionamento!G75</f>
        <v>-26413.91</v>
      </c>
      <c r="J16" s="71">
        <f>I16</f>
        <v>-26413.91</v>
      </c>
      <c r="K16" s="71">
        <f>I16</f>
        <v>-26413.91</v>
      </c>
      <c r="L16" s="71">
        <f>I16</f>
        <v>-26413.91</v>
      </c>
    </row>
    <row r="17" spans="3:12" ht="15" customHeight="1" x14ac:dyDescent="0.35">
      <c r="C17" s="35">
        <v>1</v>
      </c>
      <c r="D17" s="36">
        <f>Dimensionamento!E43*12</f>
        <v>0</v>
      </c>
      <c r="E17" s="36">
        <f>P3+P4</f>
        <v>0.73944999999999994</v>
      </c>
      <c r="F17" s="36">
        <f>IF(Dimensionamento!$E$7="A", IF($E$12=1, $R$3, IF($E$12=2, $R$3+$R$4*(1-$E$13), $R$3+$R$4)), IF($E$12=1, $P$3, IF($E$12=2, $P$3+$P$4*(1-$E$13), $P$3+$P$4)))</f>
        <v>0.60467499999999996</v>
      </c>
      <c r="G17" s="68">
        <f t="shared" ref="G17:G46" si="0">(E17*$E$5+(1-$E$5)*F17)*D17</f>
        <v>0</v>
      </c>
      <c r="H17" s="68">
        <f t="shared" ref="H17:H46" si="1">IF(OR(C17=$E$7,C17=2*$E$7),G17*($E$8+$E$9),G17*$E$8)</f>
        <v>0</v>
      </c>
      <c r="I17" s="68">
        <f>G17-H17- IF(Dimensionamento!$E$7="A", Dimensionamento!$E$37*Dimensionamento!$E$20*12, 0)</f>
        <v>0</v>
      </c>
      <c r="J17" s="68">
        <f>J16+I17</f>
        <v>-26413.91</v>
      </c>
      <c r="K17" s="68">
        <f t="shared" ref="K17:K46" si="2">I17/(1+$E$6)^C17</f>
        <v>0</v>
      </c>
      <c r="L17" s="68">
        <f>L16+K17</f>
        <v>-26413.91</v>
      </c>
    </row>
    <row r="18" spans="3:12" ht="15" customHeight="1" x14ac:dyDescent="0.35">
      <c r="C18" s="37">
        <v>2</v>
      </c>
      <c r="D18" s="38">
        <f>Dimensionamento!$E$43*12*(1-$E$10)</f>
        <v>0</v>
      </c>
      <c r="E18" s="38">
        <f t="shared" ref="E18:E46" si="3">E17*(1+$E$4)</f>
        <v>0.77642250000000002</v>
      </c>
      <c r="F18" s="38">
        <f t="shared" ref="F18:F46" si="4">F17*(1+$E$4)</f>
        <v>0.63490875000000002</v>
      </c>
      <c r="G18" s="69">
        <f t="shared" si="0"/>
        <v>0</v>
      </c>
      <c r="H18" s="69">
        <f t="shared" si="1"/>
        <v>0</v>
      </c>
      <c r="I18" s="69">
        <f>G18-H18- IF(Dimensionamento!$E$7="A", Dimensionamento!$E$37*Dimensionamento!$E$20*12, 0)</f>
        <v>0</v>
      </c>
      <c r="J18" s="69">
        <f t="shared" ref="J18:J46" si="5">J17+I18</f>
        <v>-26413.91</v>
      </c>
      <c r="K18" s="69">
        <f t="shared" si="2"/>
        <v>0</v>
      </c>
      <c r="L18" s="69">
        <f t="shared" ref="L18:L46" si="6">L17+K18</f>
        <v>-26413.91</v>
      </c>
    </row>
    <row r="19" spans="3:12" ht="15" customHeight="1" x14ac:dyDescent="0.35">
      <c r="C19" s="35">
        <v>3</v>
      </c>
      <c r="D19" s="36">
        <f>Dimensionamento!$E$43*12*(1-$E$10-(C19-2)*$E$11)</f>
        <v>0</v>
      </c>
      <c r="E19" s="36">
        <f t="shared" si="3"/>
        <v>0.81524362500000003</v>
      </c>
      <c r="F19" s="36">
        <f t="shared" si="4"/>
        <v>0.66665418750000005</v>
      </c>
      <c r="G19" s="68">
        <f t="shared" si="0"/>
        <v>0</v>
      </c>
      <c r="H19" s="68">
        <f t="shared" si="1"/>
        <v>0</v>
      </c>
      <c r="I19" s="68">
        <f>G19-H19- IF(Dimensionamento!$E$7="A", Dimensionamento!$E$37*Dimensionamento!$E$20*12, 0)</f>
        <v>0</v>
      </c>
      <c r="J19" s="68">
        <f t="shared" si="5"/>
        <v>-26413.91</v>
      </c>
      <c r="K19" s="68">
        <f t="shared" si="2"/>
        <v>0</v>
      </c>
      <c r="L19" s="68">
        <f t="shared" si="6"/>
        <v>-26413.91</v>
      </c>
    </row>
    <row r="20" spans="3:12" ht="15" customHeight="1" x14ac:dyDescent="0.35">
      <c r="C20" s="37">
        <v>4</v>
      </c>
      <c r="D20" s="38">
        <f>Dimensionamento!$E$43*12*(1-$E$10-(C20-2)*$E$11)</f>
        <v>0</v>
      </c>
      <c r="E20" s="38">
        <f t="shared" si="3"/>
        <v>0.85600580625000011</v>
      </c>
      <c r="F20" s="38">
        <f t="shared" si="4"/>
        <v>0.69998689687500004</v>
      </c>
      <c r="G20" s="69">
        <f t="shared" si="0"/>
        <v>0</v>
      </c>
      <c r="H20" s="69">
        <f t="shared" si="1"/>
        <v>0</v>
      </c>
      <c r="I20" s="69">
        <f>G20-H20- IF(Dimensionamento!$E$7="A", Dimensionamento!$E$37*Dimensionamento!$E$20*12, 0)</f>
        <v>0</v>
      </c>
      <c r="J20" s="69">
        <f t="shared" si="5"/>
        <v>-26413.91</v>
      </c>
      <c r="K20" s="69">
        <f t="shared" si="2"/>
        <v>0</v>
      </c>
      <c r="L20" s="69">
        <f t="shared" si="6"/>
        <v>-26413.91</v>
      </c>
    </row>
    <row r="21" spans="3:12" ht="15" customHeight="1" x14ac:dyDescent="0.35">
      <c r="C21" s="35">
        <v>5</v>
      </c>
      <c r="D21" s="36">
        <f>Dimensionamento!$E$43*12*(1-$E$10-(C21-2)*$E$11)</f>
        <v>0</v>
      </c>
      <c r="E21" s="36">
        <f t="shared" si="3"/>
        <v>0.8988060965625001</v>
      </c>
      <c r="F21" s="36">
        <f t="shared" si="4"/>
        <v>0.73498624171875004</v>
      </c>
      <c r="G21" s="68">
        <f t="shared" si="0"/>
        <v>0</v>
      </c>
      <c r="H21" s="68">
        <f t="shared" si="1"/>
        <v>0</v>
      </c>
      <c r="I21" s="68">
        <f>G21-H21- IF(Dimensionamento!$E$7="A", Dimensionamento!$E$37*Dimensionamento!$E$20*12, 0)</f>
        <v>0</v>
      </c>
      <c r="J21" s="68">
        <f t="shared" si="5"/>
        <v>-26413.91</v>
      </c>
      <c r="K21" s="68">
        <f t="shared" si="2"/>
        <v>0</v>
      </c>
      <c r="L21" s="68">
        <f t="shared" si="6"/>
        <v>-26413.91</v>
      </c>
    </row>
    <row r="22" spans="3:12" ht="15" customHeight="1" x14ac:dyDescent="0.35">
      <c r="C22" s="37">
        <v>6</v>
      </c>
      <c r="D22" s="38">
        <f>Dimensionamento!$E$43*12*(1-$E$10-(C22-2)*$E$11)</f>
        <v>0</v>
      </c>
      <c r="E22" s="38">
        <f t="shared" si="3"/>
        <v>0.94374640139062516</v>
      </c>
      <c r="F22" s="38">
        <f t="shared" si="4"/>
        <v>0.77173555380468761</v>
      </c>
      <c r="G22" s="69">
        <f t="shared" si="0"/>
        <v>0</v>
      </c>
      <c r="H22" s="69">
        <f t="shared" si="1"/>
        <v>0</v>
      </c>
      <c r="I22" s="69">
        <f>G22-H22- IF(Dimensionamento!$E$7="A", Dimensionamento!$E$37*Dimensionamento!$E$20*12, 0)</f>
        <v>0</v>
      </c>
      <c r="J22" s="69">
        <f t="shared" si="5"/>
        <v>-26413.91</v>
      </c>
      <c r="K22" s="69">
        <f t="shared" si="2"/>
        <v>0</v>
      </c>
      <c r="L22" s="69">
        <f t="shared" si="6"/>
        <v>-26413.91</v>
      </c>
    </row>
    <row r="23" spans="3:12" ht="15" customHeight="1" x14ac:dyDescent="0.35">
      <c r="C23" s="35">
        <v>7</v>
      </c>
      <c r="D23" s="36">
        <f>Dimensionamento!$E$43*12*(1-$E$10-(C23-2)*$E$11)</f>
        <v>0</v>
      </c>
      <c r="E23" s="36">
        <f t="shared" si="3"/>
        <v>0.99093372146015646</v>
      </c>
      <c r="F23" s="36">
        <f t="shared" si="4"/>
        <v>0.81032233149492205</v>
      </c>
      <c r="G23" s="68">
        <f t="shared" si="0"/>
        <v>0</v>
      </c>
      <c r="H23" s="68">
        <f t="shared" si="1"/>
        <v>0</v>
      </c>
      <c r="I23" s="68">
        <f>G23-H23- IF(Dimensionamento!$E$7="A", Dimensionamento!$E$37*Dimensionamento!$E$20*12, 0)</f>
        <v>0</v>
      </c>
      <c r="J23" s="68">
        <f t="shared" si="5"/>
        <v>-26413.91</v>
      </c>
      <c r="K23" s="68">
        <f t="shared" si="2"/>
        <v>0</v>
      </c>
      <c r="L23" s="68">
        <f t="shared" si="6"/>
        <v>-26413.91</v>
      </c>
    </row>
    <row r="24" spans="3:12" ht="15" customHeight="1" x14ac:dyDescent="0.35">
      <c r="C24" s="37">
        <v>8</v>
      </c>
      <c r="D24" s="38">
        <f>Dimensionamento!$E$43*12*(1-$E$10-(C24-2)*$E$11)</f>
        <v>0</v>
      </c>
      <c r="E24" s="38">
        <f t="shared" si="3"/>
        <v>1.0404804075331644</v>
      </c>
      <c r="F24" s="38">
        <f t="shared" si="4"/>
        <v>0.85083844806966824</v>
      </c>
      <c r="G24" s="69">
        <f t="shared" si="0"/>
        <v>0</v>
      </c>
      <c r="H24" s="69">
        <f t="shared" si="1"/>
        <v>0</v>
      </c>
      <c r="I24" s="69">
        <f>G24-H24- IF(Dimensionamento!$E$7="A", Dimensionamento!$E$37*Dimensionamento!$E$20*12, 0)</f>
        <v>0</v>
      </c>
      <c r="J24" s="69">
        <f t="shared" si="5"/>
        <v>-26413.91</v>
      </c>
      <c r="K24" s="69">
        <f t="shared" si="2"/>
        <v>0</v>
      </c>
      <c r="L24" s="69">
        <f t="shared" si="6"/>
        <v>-26413.91</v>
      </c>
    </row>
    <row r="25" spans="3:12" ht="15" customHeight="1" x14ac:dyDescent="0.35">
      <c r="C25" s="35">
        <v>9</v>
      </c>
      <c r="D25" s="36">
        <f>Dimensionamento!$E$43*12*(1-$E$10-(C25-2)*$E$11)</f>
        <v>0</v>
      </c>
      <c r="E25" s="36">
        <f t="shared" si="3"/>
        <v>1.0925044279098226</v>
      </c>
      <c r="F25" s="36">
        <f t="shared" si="4"/>
        <v>0.89338037047315166</v>
      </c>
      <c r="G25" s="68">
        <f t="shared" si="0"/>
        <v>0</v>
      </c>
      <c r="H25" s="68">
        <f t="shared" si="1"/>
        <v>0</v>
      </c>
      <c r="I25" s="68">
        <f>G25-H25- IF(Dimensionamento!$E$7="A", Dimensionamento!$E$37*Dimensionamento!$E$20*12, 0)</f>
        <v>0</v>
      </c>
      <c r="J25" s="68">
        <f t="shared" si="5"/>
        <v>-26413.91</v>
      </c>
      <c r="K25" s="68">
        <f t="shared" si="2"/>
        <v>0</v>
      </c>
      <c r="L25" s="68">
        <f t="shared" si="6"/>
        <v>-26413.91</v>
      </c>
    </row>
    <row r="26" spans="3:12" ht="15" customHeight="1" x14ac:dyDescent="0.35">
      <c r="C26" s="37">
        <v>10</v>
      </c>
      <c r="D26" s="38">
        <f>Dimensionamento!$E$43*12*(1-$E$10-(C26-2)*$E$11)</f>
        <v>0</v>
      </c>
      <c r="E26" s="38">
        <f t="shared" si="3"/>
        <v>1.1471296493053138</v>
      </c>
      <c r="F26" s="38">
        <f t="shared" si="4"/>
        <v>0.93804938899680934</v>
      </c>
      <c r="G26" s="69">
        <f t="shared" si="0"/>
        <v>0</v>
      </c>
      <c r="H26" s="69">
        <f t="shared" si="1"/>
        <v>0</v>
      </c>
      <c r="I26" s="69">
        <f>G26-H26- IF(Dimensionamento!$E$7="A", Dimensionamento!$E$37*Dimensionamento!$E$20*12, 0)</f>
        <v>0</v>
      </c>
      <c r="J26" s="69">
        <f t="shared" si="5"/>
        <v>-26413.91</v>
      </c>
      <c r="K26" s="69">
        <f t="shared" si="2"/>
        <v>0</v>
      </c>
      <c r="L26" s="69">
        <f t="shared" si="6"/>
        <v>-26413.91</v>
      </c>
    </row>
    <row r="27" spans="3:12" ht="15" customHeight="1" x14ac:dyDescent="0.35">
      <c r="C27" s="35">
        <v>11</v>
      </c>
      <c r="D27" s="36">
        <f>Dimensionamento!$E$43*12*(1-$E$10-(C27-2)*$E$11)</f>
        <v>0</v>
      </c>
      <c r="E27" s="36">
        <f t="shared" si="3"/>
        <v>1.2044861317705795</v>
      </c>
      <c r="F27" s="36">
        <f t="shared" si="4"/>
        <v>0.9849518584466499</v>
      </c>
      <c r="G27" s="68">
        <f t="shared" si="0"/>
        <v>0</v>
      </c>
      <c r="H27" s="68">
        <f t="shared" si="1"/>
        <v>0</v>
      </c>
      <c r="I27" s="68">
        <f>G27-H27- IF(Dimensionamento!$E$7="A", Dimensionamento!$E$37*Dimensionamento!$E$20*12, 0)</f>
        <v>0</v>
      </c>
      <c r="J27" s="68">
        <f t="shared" si="5"/>
        <v>-26413.91</v>
      </c>
      <c r="K27" s="68">
        <f t="shared" si="2"/>
        <v>0</v>
      </c>
      <c r="L27" s="68">
        <f t="shared" si="6"/>
        <v>-26413.91</v>
      </c>
    </row>
    <row r="28" spans="3:12" ht="15" customHeight="1" x14ac:dyDescent="0.35">
      <c r="C28" s="37">
        <v>12</v>
      </c>
      <c r="D28" s="38">
        <f>Dimensionamento!$E$43*12*(1-$E$10-(C28-2)*$E$11)</f>
        <v>0</v>
      </c>
      <c r="E28" s="38">
        <f t="shared" si="3"/>
        <v>1.2647104383591086</v>
      </c>
      <c r="F28" s="38">
        <f t="shared" si="4"/>
        <v>1.0341994513689825</v>
      </c>
      <c r="G28" s="69">
        <f t="shared" si="0"/>
        <v>0</v>
      </c>
      <c r="H28" s="69">
        <f t="shared" si="1"/>
        <v>0</v>
      </c>
      <c r="I28" s="69">
        <f>G28-H28- IF(Dimensionamento!$E$7="A", Dimensionamento!$E$37*Dimensionamento!$E$20*12, 0)</f>
        <v>0</v>
      </c>
      <c r="J28" s="69">
        <f t="shared" si="5"/>
        <v>-26413.91</v>
      </c>
      <c r="K28" s="69">
        <f t="shared" si="2"/>
        <v>0</v>
      </c>
      <c r="L28" s="69">
        <f t="shared" si="6"/>
        <v>-26413.91</v>
      </c>
    </row>
    <row r="29" spans="3:12" ht="15" customHeight="1" x14ac:dyDescent="0.35">
      <c r="C29" s="35">
        <v>13</v>
      </c>
      <c r="D29" s="36">
        <f>Dimensionamento!$E$43*12*(1-$E$10-(C29-2)*$E$11)</f>
        <v>0</v>
      </c>
      <c r="E29" s="36">
        <f t="shared" si="3"/>
        <v>1.327945960277064</v>
      </c>
      <c r="F29" s="36">
        <f t="shared" si="4"/>
        <v>1.0859094239374316</v>
      </c>
      <c r="G29" s="68">
        <f t="shared" si="0"/>
        <v>0</v>
      </c>
      <c r="H29" s="68">
        <f t="shared" si="1"/>
        <v>0</v>
      </c>
      <c r="I29" s="68">
        <f>G29-H29- IF(Dimensionamento!$E$7="A", Dimensionamento!$E$37*Dimensionamento!$E$20*12, 0)</f>
        <v>0</v>
      </c>
      <c r="J29" s="68">
        <f t="shared" si="5"/>
        <v>-26413.91</v>
      </c>
      <c r="K29" s="68">
        <f t="shared" si="2"/>
        <v>0</v>
      </c>
      <c r="L29" s="68">
        <f t="shared" si="6"/>
        <v>-26413.91</v>
      </c>
    </row>
    <row r="30" spans="3:12" ht="15" customHeight="1" x14ac:dyDescent="0.35">
      <c r="C30" s="37">
        <v>14</v>
      </c>
      <c r="D30" s="38">
        <f>Dimensionamento!$E$43*12*(1-$E$10-(C30-2)*$E$11)</f>
        <v>0</v>
      </c>
      <c r="E30" s="38">
        <f t="shared" si="3"/>
        <v>1.3943432582909172</v>
      </c>
      <c r="F30" s="38">
        <f t="shared" si="4"/>
        <v>1.1402048951343033</v>
      </c>
      <c r="G30" s="69">
        <f t="shared" si="0"/>
        <v>0</v>
      </c>
      <c r="H30" s="69">
        <f t="shared" si="1"/>
        <v>0</v>
      </c>
      <c r="I30" s="69">
        <f>G30-H30- IF(Dimensionamento!$E$7="A", Dimensionamento!$E$37*Dimensionamento!$E$20*12, 0)</f>
        <v>0</v>
      </c>
      <c r="J30" s="69">
        <f t="shared" si="5"/>
        <v>-26413.91</v>
      </c>
      <c r="K30" s="69">
        <f t="shared" si="2"/>
        <v>0</v>
      </c>
      <c r="L30" s="69">
        <f t="shared" si="6"/>
        <v>-26413.91</v>
      </c>
    </row>
    <row r="31" spans="3:12" ht="15" customHeight="1" x14ac:dyDescent="0.35">
      <c r="C31" s="35">
        <v>15</v>
      </c>
      <c r="D31" s="36">
        <f>Dimensionamento!$E$43*12*(1-$E$10-(C31-2)*$E$11)</f>
        <v>0</v>
      </c>
      <c r="E31" s="36">
        <f t="shared" si="3"/>
        <v>1.4640604212054631</v>
      </c>
      <c r="F31" s="36">
        <f t="shared" si="4"/>
        <v>1.1972151398910185</v>
      </c>
      <c r="G31" s="68">
        <f t="shared" si="0"/>
        <v>0</v>
      </c>
      <c r="H31" s="68">
        <f t="shared" si="1"/>
        <v>0</v>
      </c>
      <c r="I31" s="68">
        <f>G31-H31- IF(Dimensionamento!$E$7="A", Dimensionamento!$E$37*Dimensionamento!$E$20*12, 0)</f>
        <v>0</v>
      </c>
      <c r="J31" s="68">
        <f t="shared" si="5"/>
        <v>-26413.91</v>
      </c>
      <c r="K31" s="68">
        <f t="shared" si="2"/>
        <v>0</v>
      </c>
      <c r="L31" s="68">
        <f t="shared" si="6"/>
        <v>-26413.91</v>
      </c>
    </row>
    <row r="32" spans="3:12" ht="15" customHeight="1" x14ac:dyDescent="0.35">
      <c r="C32" s="37">
        <v>16</v>
      </c>
      <c r="D32" s="38">
        <f>Dimensionamento!$E$43*12*(1-$E$10-(C32-2)*$E$11)</f>
        <v>0</v>
      </c>
      <c r="E32" s="38">
        <f t="shared" si="3"/>
        <v>1.5372634422657363</v>
      </c>
      <c r="F32" s="38">
        <f t="shared" si="4"/>
        <v>1.2570758968855695</v>
      </c>
      <c r="G32" s="69">
        <f t="shared" si="0"/>
        <v>0</v>
      </c>
      <c r="H32" s="69">
        <f t="shared" si="1"/>
        <v>0</v>
      </c>
      <c r="I32" s="69">
        <f>G32-H32- IF(Dimensionamento!$E$7="A", Dimensionamento!$E$37*Dimensionamento!$E$20*12, 0)</f>
        <v>0</v>
      </c>
      <c r="J32" s="69">
        <f t="shared" si="5"/>
        <v>-26413.91</v>
      </c>
      <c r="K32" s="69">
        <f t="shared" si="2"/>
        <v>0</v>
      </c>
      <c r="L32" s="69">
        <f t="shared" si="6"/>
        <v>-26413.91</v>
      </c>
    </row>
    <row r="33" spans="3:12" ht="15" customHeight="1" x14ac:dyDescent="0.35">
      <c r="C33" s="35">
        <v>17</v>
      </c>
      <c r="D33" s="36">
        <f>Dimensionamento!$E$43*12*(1-$E$10-(C33-2)*$E$11)</f>
        <v>0</v>
      </c>
      <c r="E33" s="36">
        <f t="shared" si="3"/>
        <v>1.6141266143790232</v>
      </c>
      <c r="F33" s="36">
        <f t="shared" si="4"/>
        <v>1.319929691729848</v>
      </c>
      <c r="G33" s="68">
        <f t="shared" si="0"/>
        <v>0</v>
      </c>
      <c r="H33" s="68">
        <f t="shared" si="1"/>
        <v>0</v>
      </c>
      <c r="I33" s="68">
        <f>G33-H33- IF(Dimensionamento!$E$7="A", Dimensionamento!$E$37*Dimensionamento!$E$20*12, 0)</f>
        <v>0</v>
      </c>
      <c r="J33" s="68">
        <f t="shared" si="5"/>
        <v>-26413.91</v>
      </c>
      <c r="K33" s="68">
        <f t="shared" si="2"/>
        <v>0</v>
      </c>
      <c r="L33" s="68">
        <f t="shared" si="6"/>
        <v>-26413.91</v>
      </c>
    </row>
    <row r="34" spans="3:12" ht="15" customHeight="1" x14ac:dyDescent="0.35">
      <c r="C34" s="37">
        <v>18</v>
      </c>
      <c r="D34" s="38">
        <f>Dimensionamento!$E$43*12*(1-$E$10-(C34-2)*$E$11)</f>
        <v>0</v>
      </c>
      <c r="E34" s="38">
        <f t="shared" si="3"/>
        <v>1.6948329450979744</v>
      </c>
      <c r="F34" s="38">
        <f t="shared" si="4"/>
        <v>1.3859261763163404</v>
      </c>
      <c r="G34" s="69">
        <f t="shared" si="0"/>
        <v>0</v>
      </c>
      <c r="H34" s="69">
        <f t="shared" si="1"/>
        <v>0</v>
      </c>
      <c r="I34" s="69">
        <f>G34-H34- IF(Dimensionamento!$E$7="A", Dimensionamento!$E$37*Dimensionamento!$E$20*12, 0)</f>
        <v>0</v>
      </c>
      <c r="J34" s="69">
        <f t="shared" si="5"/>
        <v>-26413.91</v>
      </c>
      <c r="K34" s="69">
        <f t="shared" si="2"/>
        <v>0</v>
      </c>
      <c r="L34" s="69">
        <f t="shared" si="6"/>
        <v>-26413.91</v>
      </c>
    </row>
    <row r="35" spans="3:12" ht="15" customHeight="1" x14ac:dyDescent="0.35">
      <c r="C35" s="35">
        <v>19</v>
      </c>
      <c r="D35" s="36">
        <f>Dimensionamento!$E$43*12*(1-$E$10-(C35-2)*$E$11)</f>
        <v>0</v>
      </c>
      <c r="E35" s="36">
        <f t="shared" si="3"/>
        <v>1.7795745923528732</v>
      </c>
      <c r="F35" s="36">
        <f t="shared" si="4"/>
        <v>1.4552224851321576</v>
      </c>
      <c r="G35" s="68">
        <f t="shared" si="0"/>
        <v>0</v>
      </c>
      <c r="H35" s="68">
        <f t="shared" si="1"/>
        <v>0</v>
      </c>
      <c r="I35" s="68">
        <f>G35-H35- IF(Dimensionamento!$E$7="A", Dimensionamento!$E$37*Dimensionamento!$E$20*12, 0)</f>
        <v>0</v>
      </c>
      <c r="J35" s="68">
        <f t="shared" si="5"/>
        <v>-26413.91</v>
      </c>
      <c r="K35" s="68">
        <f t="shared" si="2"/>
        <v>0</v>
      </c>
      <c r="L35" s="68">
        <f t="shared" si="6"/>
        <v>-26413.91</v>
      </c>
    </row>
    <row r="36" spans="3:12" ht="15" customHeight="1" x14ac:dyDescent="0.35">
      <c r="C36" s="37">
        <v>20</v>
      </c>
      <c r="D36" s="38">
        <f>Dimensionamento!$E$43*12*(1-$E$10-(C36-2)*$E$11)</f>
        <v>0</v>
      </c>
      <c r="E36" s="38">
        <f t="shared" si="3"/>
        <v>1.8685533219705168</v>
      </c>
      <c r="F36" s="38">
        <f t="shared" si="4"/>
        <v>1.5279836093887655</v>
      </c>
      <c r="G36" s="69">
        <f t="shared" si="0"/>
        <v>0</v>
      </c>
      <c r="H36" s="69">
        <f t="shared" si="1"/>
        <v>0</v>
      </c>
      <c r="I36" s="69">
        <f>G36-H36- IF(Dimensionamento!$E$7="A", Dimensionamento!$E$37*Dimensionamento!$E$20*12, 0)</f>
        <v>0</v>
      </c>
      <c r="J36" s="69">
        <f t="shared" si="5"/>
        <v>-26413.91</v>
      </c>
      <c r="K36" s="69">
        <f t="shared" si="2"/>
        <v>0</v>
      </c>
      <c r="L36" s="69">
        <f t="shared" si="6"/>
        <v>-26413.91</v>
      </c>
    </row>
    <row r="37" spans="3:12" ht="15" customHeight="1" x14ac:dyDescent="0.35">
      <c r="C37" s="35">
        <v>21</v>
      </c>
      <c r="D37" s="36">
        <f>Dimensionamento!$E$43*12*(1-$E$10-(C37-2)*$E$11)</f>
        <v>0</v>
      </c>
      <c r="E37" s="36">
        <f t="shared" si="3"/>
        <v>1.9619809880690426</v>
      </c>
      <c r="F37" s="36">
        <f t="shared" si="4"/>
        <v>1.6043827898582039</v>
      </c>
      <c r="G37" s="68">
        <f t="shared" si="0"/>
        <v>0</v>
      </c>
      <c r="H37" s="68">
        <f t="shared" si="1"/>
        <v>0</v>
      </c>
      <c r="I37" s="68">
        <f>G37-H37- IF(Dimensionamento!$E$7="A", Dimensionamento!$E$37*Dimensionamento!$E$20*12, 0)</f>
        <v>0</v>
      </c>
      <c r="J37" s="68">
        <f t="shared" si="5"/>
        <v>-26413.91</v>
      </c>
      <c r="K37" s="68">
        <f t="shared" si="2"/>
        <v>0</v>
      </c>
      <c r="L37" s="68">
        <f t="shared" si="6"/>
        <v>-26413.91</v>
      </c>
    </row>
    <row r="38" spans="3:12" ht="15" customHeight="1" x14ac:dyDescent="0.35">
      <c r="C38" s="37">
        <v>22</v>
      </c>
      <c r="D38" s="38">
        <f>Dimensionamento!$E$43*12*(1-$E$10-(C38-2)*$E$11)</f>
        <v>0</v>
      </c>
      <c r="E38" s="38">
        <f t="shared" si="3"/>
        <v>2.060080037472495</v>
      </c>
      <c r="F38" s="38">
        <f t="shared" si="4"/>
        <v>1.6846019293511143</v>
      </c>
      <c r="G38" s="69">
        <f t="shared" si="0"/>
        <v>0</v>
      </c>
      <c r="H38" s="69">
        <f t="shared" si="1"/>
        <v>0</v>
      </c>
      <c r="I38" s="69">
        <f>G38-H38- IF(Dimensionamento!$E$7="A", Dimensionamento!$E$37*Dimensionamento!$E$20*12, 0)</f>
        <v>0</v>
      </c>
      <c r="J38" s="69">
        <f t="shared" si="5"/>
        <v>-26413.91</v>
      </c>
      <c r="K38" s="69">
        <f t="shared" si="2"/>
        <v>0</v>
      </c>
      <c r="L38" s="69">
        <f t="shared" si="6"/>
        <v>-26413.91</v>
      </c>
    </row>
    <row r="39" spans="3:12" ht="15" customHeight="1" x14ac:dyDescent="0.35">
      <c r="C39" s="35">
        <v>23</v>
      </c>
      <c r="D39" s="36">
        <f>Dimensionamento!$E$43*12*(1-$E$10-(C39-2)*$E$11)</f>
        <v>0</v>
      </c>
      <c r="E39" s="36">
        <f t="shared" si="3"/>
        <v>2.1630840393461197</v>
      </c>
      <c r="F39" s="36">
        <f t="shared" si="4"/>
        <v>1.7688320258186701</v>
      </c>
      <c r="G39" s="68">
        <f t="shared" si="0"/>
        <v>0</v>
      </c>
      <c r="H39" s="68">
        <f t="shared" si="1"/>
        <v>0</v>
      </c>
      <c r="I39" s="68">
        <f>G39-H39- IF(Dimensionamento!$E$7="A", Dimensionamento!$E$37*Dimensionamento!$E$20*12, 0)</f>
        <v>0</v>
      </c>
      <c r="J39" s="68">
        <f t="shared" si="5"/>
        <v>-26413.91</v>
      </c>
      <c r="K39" s="68">
        <f t="shared" si="2"/>
        <v>0</v>
      </c>
      <c r="L39" s="68">
        <f t="shared" si="6"/>
        <v>-26413.91</v>
      </c>
    </row>
    <row r="40" spans="3:12" ht="15" customHeight="1" x14ac:dyDescent="0.35">
      <c r="C40" s="37">
        <v>24</v>
      </c>
      <c r="D40" s="38">
        <f>Dimensionamento!$E$43*12*(1-$E$10-(C40-2)*$E$11)</f>
        <v>0</v>
      </c>
      <c r="E40" s="38">
        <f t="shared" si="3"/>
        <v>2.271238241313426</v>
      </c>
      <c r="F40" s="38">
        <f t="shared" si="4"/>
        <v>1.8572736271096035</v>
      </c>
      <c r="G40" s="69">
        <f t="shared" si="0"/>
        <v>0</v>
      </c>
      <c r="H40" s="69">
        <f t="shared" si="1"/>
        <v>0</v>
      </c>
      <c r="I40" s="69">
        <f>G40-H40- IF(Dimensionamento!$E$7="A", Dimensionamento!$E$37*Dimensionamento!$E$20*12, 0)</f>
        <v>0</v>
      </c>
      <c r="J40" s="69">
        <f t="shared" si="5"/>
        <v>-26413.91</v>
      </c>
      <c r="K40" s="69">
        <f t="shared" si="2"/>
        <v>0</v>
      </c>
      <c r="L40" s="69">
        <f t="shared" si="6"/>
        <v>-26413.91</v>
      </c>
    </row>
    <row r="41" spans="3:12" ht="15" customHeight="1" x14ac:dyDescent="0.35">
      <c r="C41" s="35">
        <v>25</v>
      </c>
      <c r="D41" s="36">
        <f>Dimensionamento!$E$43*12*(1-$E$10-(C41-2)*$E$11)</f>
        <v>0</v>
      </c>
      <c r="E41" s="36">
        <f t="shared" si="3"/>
        <v>2.3848001533790972</v>
      </c>
      <c r="F41" s="36">
        <f t="shared" si="4"/>
        <v>1.9501373084650837</v>
      </c>
      <c r="G41" s="68">
        <f t="shared" si="0"/>
        <v>0</v>
      </c>
      <c r="H41" s="68">
        <f t="shared" si="1"/>
        <v>0</v>
      </c>
      <c r="I41" s="68">
        <f>G41-H41- IF(Dimensionamento!$E$7="A", Dimensionamento!$E$37*Dimensionamento!$E$20*12, 0)</f>
        <v>0</v>
      </c>
      <c r="J41" s="68">
        <f t="shared" si="5"/>
        <v>-26413.91</v>
      </c>
      <c r="K41" s="68">
        <f t="shared" si="2"/>
        <v>0</v>
      </c>
      <c r="L41" s="68">
        <f t="shared" si="6"/>
        <v>-26413.91</v>
      </c>
    </row>
    <row r="42" spans="3:12" ht="15" customHeight="1" x14ac:dyDescent="0.35">
      <c r="C42" s="37">
        <v>26</v>
      </c>
      <c r="D42" s="38">
        <f>Dimensionamento!$E$43*12*(1-$E$10-(C42-2)*$E$11)</f>
        <v>0</v>
      </c>
      <c r="E42" s="38">
        <f t="shared" si="3"/>
        <v>2.504040161048052</v>
      </c>
      <c r="F42" s="38">
        <f t="shared" si="4"/>
        <v>2.047644173888338</v>
      </c>
      <c r="G42" s="69">
        <f t="shared" si="0"/>
        <v>0</v>
      </c>
      <c r="H42" s="69">
        <f t="shared" si="1"/>
        <v>0</v>
      </c>
      <c r="I42" s="69">
        <f>G42-H42- IF(Dimensionamento!$E$7="A", Dimensionamento!$E$37*Dimensionamento!$E$20*12, 0)</f>
        <v>0</v>
      </c>
      <c r="J42" s="69">
        <f t="shared" si="5"/>
        <v>-26413.91</v>
      </c>
      <c r="K42" s="69">
        <f t="shared" si="2"/>
        <v>0</v>
      </c>
      <c r="L42" s="69">
        <f t="shared" si="6"/>
        <v>-26413.91</v>
      </c>
    </row>
    <row r="43" spans="3:12" ht="15" customHeight="1" x14ac:dyDescent="0.35">
      <c r="C43" s="35">
        <v>27</v>
      </c>
      <c r="D43" s="36">
        <f>Dimensionamento!$E$43*12*(1-$E$10-(C43-2)*$E$11)</f>
        <v>0</v>
      </c>
      <c r="E43" s="36">
        <f t="shared" si="3"/>
        <v>2.6292421691004546</v>
      </c>
      <c r="F43" s="36">
        <f t="shared" si="4"/>
        <v>2.1500263825827548</v>
      </c>
      <c r="G43" s="68">
        <f t="shared" si="0"/>
        <v>0</v>
      </c>
      <c r="H43" s="68">
        <f t="shared" si="1"/>
        <v>0</v>
      </c>
      <c r="I43" s="68">
        <f>G43-H43- IF(Dimensionamento!$E$7="A", Dimensionamento!$E$37*Dimensionamento!$E$20*12, 0)</f>
        <v>0</v>
      </c>
      <c r="J43" s="68">
        <f t="shared" si="5"/>
        <v>-26413.91</v>
      </c>
      <c r="K43" s="68">
        <f t="shared" si="2"/>
        <v>0</v>
      </c>
      <c r="L43" s="68">
        <f t="shared" si="6"/>
        <v>-26413.91</v>
      </c>
    </row>
    <row r="44" spans="3:12" ht="15" customHeight="1" x14ac:dyDescent="0.35">
      <c r="C44" s="37">
        <v>28</v>
      </c>
      <c r="D44" s="38">
        <f>Dimensionamento!$E$43*12*(1-$E$10-(C44-2)*$E$11)</f>
        <v>0</v>
      </c>
      <c r="E44" s="38">
        <f t="shared" si="3"/>
        <v>2.7607042775554773</v>
      </c>
      <c r="F44" s="38">
        <f t="shared" si="4"/>
        <v>2.2575277017118927</v>
      </c>
      <c r="G44" s="69">
        <f t="shared" si="0"/>
        <v>0</v>
      </c>
      <c r="H44" s="69">
        <f t="shared" si="1"/>
        <v>0</v>
      </c>
      <c r="I44" s="69">
        <f>G44-H44- IF(Dimensionamento!$E$7="A", Dimensionamento!$E$37*Dimensionamento!$E$20*12, 0)</f>
        <v>0</v>
      </c>
      <c r="J44" s="69">
        <f t="shared" si="5"/>
        <v>-26413.91</v>
      </c>
      <c r="K44" s="69">
        <f t="shared" si="2"/>
        <v>0</v>
      </c>
      <c r="L44" s="69">
        <f t="shared" si="6"/>
        <v>-26413.91</v>
      </c>
    </row>
    <row r="45" spans="3:12" ht="15" customHeight="1" x14ac:dyDescent="0.35">
      <c r="C45" s="35">
        <v>29</v>
      </c>
      <c r="D45" s="36">
        <f>Dimensionamento!$E$43*12*(1-$E$10-(C45-2)*$E$11)</f>
        <v>0</v>
      </c>
      <c r="E45" s="36">
        <f t="shared" si="3"/>
        <v>2.8987394914332514</v>
      </c>
      <c r="F45" s="36">
        <f t="shared" si="4"/>
        <v>2.3704040867974876</v>
      </c>
      <c r="G45" s="68">
        <f t="shared" si="0"/>
        <v>0</v>
      </c>
      <c r="H45" s="68">
        <f t="shared" si="1"/>
        <v>0</v>
      </c>
      <c r="I45" s="68">
        <f>G45-H45- IF(Dimensionamento!$E$7="A", Dimensionamento!$E$37*Dimensionamento!$E$20*12, 0)</f>
        <v>0</v>
      </c>
      <c r="J45" s="68">
        <f t="shared" si="5"/>
        <v>-26413.91</v>
      </c>
      <c r="K45" s="68">
        <f t="shared" si="2"/>
        <v>0</v>
      </c>
      <c r="L45" s="68">
        <f t="shared" si="6"/>
        <v>-26413.91</v>
      </c>
    </row>
    <row r="46" spans="3:12" ht="15" customHeight="1" thickBot="1" x14ac:dyDescent="0.4">
      <c r="C46" s="39">
        <v>30</v>
      </c>
      <c r="D46" s="40">
        <f>Dimensionamento!$E$43*12*(1-$E$10-(C46-2)*$E$11)</f>
        <v>0</v>
      </c>
      <c r="E46" s="40">
        <f t="shared" si="3"/>
        <v>3.0436764660049143</v>
      </c>
      <c r="F46" s="40">
        <f t="shared" si="4"/>
        <v>2.4889242911373621</v>
      </c>
      <c r="G46" s="70">
        <f t="shared" si="0"/>
        <v>0</v>
      </c>
      <c r="H46" s="70">
        <f t="shared" si="1"/>
        <v>0</v>
      </c>
      <c r="I46" s="70">
        <f>G46-H46- IF(Dimensionamento!$E$7="A", Dimensionamento!$E$37*Dimensionamento!$E$20*12, 0)</f>
        <v>0</v>
      </c>
      <c r="J46" s="70">
        <f t="shared" si="5"/>
        <v>-26413.91</v>
      </c>
      <c r="K46" s="70">
        <f t="shared" si="2"/>
        <v>0</v>
      </c>
      <c r="L46" s="70">
        <f t="shared" si="6"/>
        <v>-26413.91</v>
      </c>
    </row>
    <row r="48" spans="3:12" ht="15" customHeight="1" thickBot="1" x14ac:dyDescent="0.4"/>
    <row r="49" spans="2:12" ht="15" customHeight="1" thickBot="1" x14ac:dyDescent="0.4">
      <c r="C49" s="53" t="s">
        <v>135</v>
      </c>
      <c r="D49" s="58">
        <f>SUM(K16:K46)</f>
        <v>-26413.91</v>
      </c>
      <c r="E49" s="57"/>
    </row>
    <row r="50" spans="2:12" ht="15" customHeight="1" thickTop="1" thickBot="1" x14ac:dyDescent="0.4">
      <c r="C50" s="53" t="s">
        <v>134</v>
      </c>
      <c r="D50" s="59" t="e">
        <f>IRR(I16:I46)</f>
        <v>#NUM!</v>
      </c>
    </row>
    <row r="52" spans="2:12" ht="15" customHeight="1" x14ac:dyDescent="0.35">
      <c r="B52" s="140" t="s">
        <v>169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</row>
    <row r="53" spans="2:12" ht="15" customHeight="1" x14ac:dyDescent="0.35"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</row>
    <row r="54" spans="2:12" ht="15" customHeight="1" x14ac:dyDescent="0.35"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  <row r="56" spans="2:12" ht="15" customHeight="1" x14ac:dyDescent="0.35">
      <c r="B56" s="140" t="s">
        <v>170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</row>
    <row r="57" spans="2:12" ht="15" customHeight="1" x14ac:dyDescent="0.35"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</row>
    <row r="58" spans="2:12" ht="15" customHeight="1" x14ac:dyDescent="0.35"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</sheetData>
  <mergeCells count="14">
    <mergeCell ref="B52:L54"/>
    <mergeCell ref="B56:L58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  <mergeCell ref="B13:D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2026-06-01T00:35:04Z</dcterms:modified>
</cp:coreProperties>
</file>