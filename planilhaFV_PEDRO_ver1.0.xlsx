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9080EC7-C318-42E6-A6F7-2D59553140C0}" xr6:coauthVersionLast="47" xr6:coauthVersionMax="47" xr10:uidLastSave="{00000000-0000-0000-0000-000000000000}"/>
  <bookViews>
    <workbookView xWindow="-110" yWindow="-110" windowWidth="19420" windowHeight="10300" activeTab="1" xr2:uid="{F3098340-45CE-453E-8700-D146D20039C6}"/>
  </bookViews>
  <sheets>
    <sheet name="Dimensionamento" sheetId="1" r:id="rId1"/>
    <sheet name="Payback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2" l="1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16" i="2"/>
  <c r="E35" i="1"/>
  <c r="P6" i="2"/>
  <c r="E34" i="1" s="1"/>
  <c r="E32" i="1"/>
  <c r="P5" i="2"/>
  <c r="P4" i="2"/>
  <c r="P3" i="2"/>
  <c r="F16" i="2" s="1"/>
  <c r="G67" i="1"/>
  <c r="G68" i="1" s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47" i="1"/>
  <c r="E43" i="1"/>
  <c r="E33" i="1"/>
  <c r="E31" i="1"/>
  <c r="E30" i="1"/>
  <c r="E36" i="1" s="1"/>
  <c r="E37" i="1" s="1"/>
  <c r="E39" i="1" s="1"/>
  <c r="F17" i="2" l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E16" i="2"/>
  <c r="G63" i="1"/>
  <c r="E41" i="1"/>
  <c r="E40" i="1"/>
  <c r="E38" i="1"/>
  <c r="E42" i="1" s="1"/>
  <c r="E17" i="2"/>
  <c r="G73" i="1"/>
  <c r="I15" i="2" l="1"/>
  <c r="D75" i="1"/>
  <c r="D19" i="2"/>
  <c r="D31" i="2"/>
  <c r="D32" i="2"/>
  <c r="D35" i="2"/>
  <c r="D33" i="2"/>
  <c r="D41" i="2"/>
  <c r="D34" i="2"/>
  <c r="D42" i="2"/>
  <c r="D43" i="2"/>
  <c r="D36" i="2"/>
  <c r="D38" i="2"/>
  <c r="D39" i="2"/>
  <c r="D40" i="2"/>
  <c r="D23" i="2"/>
  <c r="D18" i="2"/>
  <c r="D24" i="2"/>
  <c r="D44" i="2"/>
  <c r="D37" i="2"/>
  <c r="D45" i="2"/>
  <c r="D25" i="2"/>
  <c r="D21" i="2"/>
  <c r="D22" i="2"/>
  <c r="D20" i="2"/>
  <c r="D17" i="2"/>
  <c r="D26" i="2"/>
  <c r="D28" i="2"/>
  <c r="D29" i="2"/>
  <c r="D30" i="2"/>
  <c r="D16" i="2"/>
  <c r="G16" i="2" s="1"/>
  <c r="H16" i="2" s="1"/>
  <c r="K16" i="2" s="1"/>
  <c r="D27" i="2"/>
  <c r="G17" i="2"/>
  <c r="H17" i="2" s="1"/>
  <c r="K17" i="2" s="1"/>
  <c r="E18" i="2"/>
  <c r="D49" i="2" l="1"/>
  <c r="L15" i="2"/>
  <c r="L16" i="2" s="1"/>
  <c r="L17" i="2" s="1"/>
  <c r="J15" i="2"/>
  <c r="J16" i="2" s="1"/>
  <c r="J17" i="2" s="1"/>
  <c r="K15" i="2"/>
  <c r="D48" i="2" s="1"/>
  <c r="G18" i="2"/>
  <c r="H18" i="2" s="1"/>
  <c r="K18" i="2" s="1"/>
  <c r="L18" i="2" s="1"/>
  <c r="E19" i="2"/>
  <c r="J18" i="2" l="1"/>
  <c r="E20" i="2"/>
  <c r="G19" i="2"/>
  <c r="H19" i="2" s="1"/>
  <c r="K19" i="2" s="1"/>
  <c r="L19" i="2" s="1"/>
  <c r="E21" i="2" l="1"/>
  <c r="G20" i="2"/>
  <c r="H20" i="2" s="1"/>
  <c r="K20" i="2" s="1"/>
  <c r="L20" i="2" s="1"/>
  <c r="J19" i="2"/>
  <c r="J20" i="2" l="1"/>
  <c r="E22" i="2"/>
  <c r="G21" i="2"/>
  <c r="H21" i="2" s="1"/>
  <c r="K21" i="2" s="1"/>
  <c r="L21" i="2" s="1"/>
  <c r="E23" i="2" l="1"/>
  <c r="G22" i="2"/>
  <c r="H22" i="2" s="1"/>
  <c r="K22" i="2" s="1"/>
  <c r="L22" i="2" s="1"/>
  <c r="J21" i="2"/>
  <c r="J22" i="2" l="1"/>
  <c r="E24" i="2"/>
  <c r="G23" i="2"/>
  <c r="H23" i="2" s="1"/>
  <c r="K23" i="2" s="1"/>
  <c r="L23" i="2" s="1"/>
  <c r="E25" i="2" l="1"/>
  <c r="G24" i="2"/>
  <c r="H24" i="2" s="1"/>
  <c r="K24" i="2" s="1"/>
  <c r="L24" i="2" s="1"/>
  <c r="J23" i="2"/>
  <c r="J24" i="2" l="1"/>
  <c r="E26" i="2"/>
  <c r="G25" i="2"/>
  <c r="H25" i="2" s="1"/>
  <c r="K25" i="2" s="1"/>
  <c r="L25" i="2" s="1"/>
  <c r="E27" i="2" l="1"/>
  <c r="G26" i="2"/>
  <c r="H26" i="2" s="1"/>
  <c r="K26" i="2" s="1"/>
  <c r="L26" i="2" s="1"/>
  <c r="J25" i="2"/>
  <c r="J26" i="2" l="1"/>
  <c r="E28" i="2"/>
  <c r="G27" i="2"/>
  <c r="H27" i="2" s="1"/>
  <c r="K27" i="2" s="1"/>
  <c r="L27" i="2" s="1"/>
  <c r="E29" i="2" l="1"/>
  <c r="G28" i="2"/>
  <c r="H28" i="2" s="1"/>
  <c r="K28" i="2" s="1"/>
  <c r="L28" i="2" s="1"/>
  <c r="J27" i="2"/>
  <c r="J28" i="2" l="1"/>
  <c r="E30" i="2"/>
  <c r="G29" i="2"/>
  <c r="H29" i="2" s="1"/>
  <c r="K29" i="2" s="1"/>
  <c r="L29" i="2" s="1"/>
  <c r="J29" i="2" l="1"/>
  <c r="E31" i="2"/>
  <c r="G30" i="2"/>
  <c r="H30" i="2" s="1"/>
  <c r="K30" i="2" s="1"/>
  <c r="L30" i="2" s="1"/>
  <c r="J30" i="2" l="1"/>
  <c r="E32" i="2"/>
  <c r="G31" i="2"/>
  <c r="H31" i="2" s="1"/>
  <c r="K31" i="2" s="1"/>
  <c r="L31" i="2" s="1"/>
  <c r="E33" i="2" l="1"/>
  <c r="G32" i="2"/>
  <c r="H32" i="2" s="1"/>
  <c r="K32" i="2" s="1"/>
  <c r="L32" i="2" s="1"/>
  <c r="J31" i="2"/>
  <c r="J32" i="2" l="1"/>
  <c r="E34" i="2"/>
  <c r="G33" i="2"/>
  <c r="H33" i="2" s="1"/>
  <c r="K33" i="2" s="1"/>
  <c r="L33" i="2" s="1"/>
  <c r="E35" i="2" l="1"/>
  <c r="G34" i="2"/>
  <c r="H34" i="2" s="1"/>
  <c r="K34" i="2" s="1"/>
  <c r="L34" i="2" s="1"/>
  <c r="J33" i="2"/>
  <c r="J34" i="2" l="1"/>
  <c r="E36" i="2"/>
  <c r="G35" i="2"/>
  <c r="H35" i="2" s="1"/>
  <c r="K35" i="2" s="1"/>
  <c r="L35" i="2" s="1"/>
  <c r="E37" i="2" l="1"/>
  <c r="G36" i="2"/>
  <c r="H36" i="2" s="1"/>
  <c r="K36" i="2" s="1"/>
  <c r="L36" i="2" s="1"/>
  <c r="J35" i="2"/>
  <c r="J36" i="2" l="1"/>
  <c r="E38" i="2"/>
  <c r="G37" i="2"/>
  <c r="H37" i="2" s="1"/>
  <c r="K37" i="2" s="1"/>
  <c r="L37" i="2" s="1"/>
  <c r="E39" i="2" l="1"/>
  <c r="G38" i="2"/>
  <c r="H38" i="2" s="1"/>
  <c r="K38" i="2" s="1"/>
  <c r="L38" i="2" s="1"/>
  <c r="J37" i="2"/>
  <c r="J38" i="2" l="1"/>
  <c r="E40" i="2"/>
  <c r="G39" i="2"/>
  <c r="H39" i="2" s="1"/>
  <c r="K39" i="2" s="1"/>
  <c r="L39" i="2" s="1"/>
  <c r="E41" i="2" l="1"/>
  <c r="G40" i="2"/>
  <c r="H40" i="2" s="1"/>
  <c r="K40" i="2" s="1"/>
  <c r="L40" i="2" s="1"/>
  <c r="J39" i="2"/>
  <c r="J40" i="2" l="1"/>
  <c r="E42" i="2"/>
  <c r="G41" i="2"/>
  <c r="H41" i="2" s="1"/>
  <c r="K41" i="2" s="1"/>
  <c r="L41" i="2" s="1"/>
  <c r="E43" i="2" l="1"/>
  <c r="G42" i="2"/>
  <c r="H42" i="2" s="1"/>
  <c r="K42" i="2" s="1"/>
  <c r="L42" i="2" s="1"/>
  <c r="J41" i="2"/>
  <c r="J42" i="2" l="1"/>
  <c r="E44" i="2"/>
  <c r="G43" i="2"/>
  <c r="H43" i="2" s="1"/>
  <c r="K43" i="2" s="1"/>
  <c r="L43" i="2" s="1"/>
  <c r="E45" i="2" l="1"/>
  <c r="G45" i="2" s="1"/>
  <c r="H45" i="2" s="1"/>
  <c r="K45" i="2" s="1"/>
  <c r="G44" i="2"/>
  <c r="H44" i="2" s="1"/>
  <c r="K44" i="2" s="1"/>
  <c r="L44" i="2" s="1"/>
  <c r="J43" i="2"/>
  <c r="L45" i="2" l="1"/>
  <c r="J44" i="2"/>
  <c r="J45" i="2" s="1"/>
</calcChain>
</file>

<file path=xl/sharedStrings.xml><?xml version="1.0" encoding="utf-8"?>
<sst xmlns="http://schemas.openxmlformats.org/spreadsheetml/2006/main" count="166" uniqueCount="159">
  <si>
    <t>Pedro Kzan - Eng. Elétrica | EESC USP</t>
  </si>
  <si>
    <t>Dados alteráveis:</t>
  </si>
  <si>
    <t>Dados fixos:</t>
  </si>
  <si>
    <t>Legenda:</t>
  </si>
  <si>
    <t>Cidade</t>
  </si>
  <si>
    <t>Tmin</t>
  </si>
  <si>
    <t>Latitude</t>
  </si>
  <si>
    <t>Longitude</t>
  </si>
  <si>
    <t>Energia Mensal (EM)</t>
  </si>
  <si>
    <t>Eficiência do sistema todo (ηsis)</t>
  </si>
  <si>
    <t>Sobrecarga do Inversor (PCC/PCA)</t>
  </si>
  <si>
    <t>Tensão em Vazio do Módulo</t>
  </si>
  <si>
    <t>Nº de MPPTs do Inversor</t>
  </si>
  <si>
    <t>Coeficiente de temperatura do módulo (α)</t>
  </si>
  <si>
    <t>São Carlos</t>
  </si>
  <si>
    <t>Escolher entre [0,7-0,9] -&gt; perdas surgem de temperatura, inversor, sujeira/poeira, cabeamento, mismatch, sombreamento, degradação.</t>
  </si>
  <si>
    <t>Consumo de energia do cliente</t>
  </si>
  <si>
    <t>Número de módulos</t>
  </si>
  <si>
    <t>Nº de módulos/Nº de MPPT</t>
  </si>
  <si>
    <t>Potência Fotovoltaica teórica</t>
  </si>
  <si>
    <t>Potência Fotovoltaica real</t>
  </si>
  <si>
    <t>Potência do Inversor em CA</t>
  </si>
  <si>
    <t>Energia Fotovoltaica real</t>
  </si>
  <si>
    <t>Tensão máxima por MPPT</t>
  </si>
  <si>
    <t>Inclinação ideal</t>
  </si>
  <si>
    <t>Energia média mensal (kWh/mês) obtida da conta de energia; média dos últimos 12 meses.</t>
  </si>
  <si>
    <t>Energia de Custo de Disponibilidade (Grupo B):</t>
  </si>
  <si>
    <t>Classe do Usuário</t>
  </si>
  <si>
    <t>A</t>
  </si>
  <si>
    <t>Modelo tarifário</t>
  </si>
  <si>
    <t>Azul</t>
  </si>
  <si>
    <t>Crédito por kWh injetado (Lei 14.300). TUSD*(1-ICMS) + TE.</t>
  </si>
  <si>
    <t>Dados Indicados (inputs)</t>
  </si>
  <si>
    <t>Dimensionamento Preliminar (outputs)</t>
  </si>
  <si>
    <t>(Grupo B) custo consumo TUSD (R$/kWh)</t>
  </si>
  <si>
    <t>(Grupo B) custo consumo TE (R$/kWh)</t>
  </si>
  <si>
    <t>(Grupo A) consumo Fponta TUSD</t>
  </si>
  <si>
    <t>(Grupo A) consumo Fponta TE</t>
  </si>
  <si>
    <t>Sistema monofásico: 30kWh</t>
  </si>
  <si>
    <t>Sistema bifásico (3 fios): 50kWh</t>
  </si>
  <si>
    <t>Sistema trifásico: 100kWh</t>
  </si>
  <si>
    <t>Irradiação Solar (GHI)</t>
  </si>
  <si>
    <t>Disponível na conta de energia, assim como o modelo tarifário.</t>
  </si>
  <si>
    <t>(Grupo B) Custo de energia consumida</t>
  </si>
  <si>
    <t>(Grupo A) custo E consumo Fponta</t>
  </si>
  <si>
    <t>(Grupo B) custo de energia injetada</t>
  </si>
  <si>
    <t>Custos</t>
  </si>
  <si>
    <t>Equipamento</t>
  </si>
  <si>
    <t>Módulo Fotovoltaico</t>
  </si>
  <si>
    <t>Inversor</t>
  </si>
  <si>
    <t>String box</t>
  </si>
  <si>
    <t>Conjunto conector</t>
  </si>
  <si>
    <t>Cabo solar</t>
  </si>
  <si>
    <t>Grampo intermediário</t>
  </si>
  <si>
    <t>Grampo terminador</t>
  </si>
  <si>
    <t>Hook de aço Kit</t>
  </si>
  <si>
    <t>Emenda perfil</t>
  </si>
  <si>
    <t>Grampo de aterramento</t>
  </si>
  <si>
    <t>Perfil de Alumínio Anodizado p/ módulos</t>
  </si>
  <si>
    <t>Eletrobox (quadro CA) e outros</t>
  </si>
  <si>
    <t>Quantidade</t>
  </si>
  <si>
    <t>Custo total</t>
  </si>
  <si>
    <t>Custo unitário</t>
  </si>
  <si>
    <t>Escolher (1) ou (2)</t>
  </si>
  <si>
    <t>Preço Distribuído (1)</t>
  </si>
  <si>
    <t>Preço Concentrado (2)</t>
  </si>
  <si>
    <t>Valor do material</t>
  </si>
  <si>
    <t>Estudos e Análises</t>
  </si>
  <si>
    <t>Ligação à rede e mão de obra</t>
  </si>
  <si>
    <t>Outro</t>
  </si>
  <si>
    <t>Desconto</t>
  </si>
  <si>
    <t>/Wp</t>
  </si>
  <si>
    <t>Valor do Investimento</t>
  </si>
  <si>
    <t>Avaliação Econômica</t>
  </si>
  <si>
    <t>Total:</t>
  </si>
  <si>
    <t>Custo / Watt-pico</t>
  </si>
  <si>
    <t>Abraçadeira cabos</t>
  </si>
  <si>
    <t>Clip de aterramento</t>
  </si>
  <si>
    <t>Potência do Painel (PMOD)</t>
  </si>
  <si>
    <t>Fatores de Influência Adotados</t>
  </si>
  <si>
    <t xml:space="preserve">Previsão de aumento do custo Energia </t>
  </si>
  <si>
    <t>Vida útil do inversor</t>
  </si>
  <si>
    <t>Custo de manutenção em relação à economia anual</t>
  </si>
  <si>
    <t>Custos total do inversor em relação à economia anual</t>
  </si>
  <si>
    <t xml:space="preserve">Perda de eficiencia do painel </t>
  </si>
  <si>
    <t>Perda de eficiencia do painel (outros anos)</t>
  </si>
  <si>
    <t>Viabilidade Econômica</t>
  </si>
  <si>
    <t>Valor</t>
  </si>
  <si>
    <t>/ano</t>
  </si>
  <si>
    <t>anos</t>
  </si>
  <si>
    <t>Ano</t>
  </si>
  <si>
    <t>Energia Anual Gerada (kWh)</t>
  </si>
  <si>
    <t>Economia (R$)</t>
  </si>
  <si>
    <t>Manutenção (R$)</t>
  </si>
  <si>
    <t>Fluxo de Caixa Anual (R$)</t>
  </si>
  <si>
    <t>Fluxo Acumulado (R$)</t>
  </si>
  <si>
    <t>Fluxo Descontado (R$)</t>
  </si>
  <si>
    <t>Fluxo Descontado Acumulado (R$)</t>
  </si>
  <si>
    <t>Custo do kWh de Energia Injetada (R$)</t>
  </si>
  <si>
    <t>Taxa de Desconto</t>
  </si>
  <si>
    <t>Taxa de Autoconsumo</t>
  </si>
  <si>
    <t>Custo do kWh de Energia Consumida (R$)</t>
  </si>
  <si>
    <t>Payback simples</t>
  </si>
  <si>
    <t>Payback descontado (supondo desvalorização)</t>
  </si>
  <si>
    <t>Transporte (10% do valor do material)</t>
  </si>
  <si>
    <t>Cenário: Pessimista (1); Base (2); Otimista (3)</t>
  </si>
  <si>
    <t>Dimensionamento de Sistema Fotovoltaico ON-GRID para usuário micro ou minigerador com Payback - Dimens. Inicial</t>
  </si>
  <si>
    <t>Fio B</t>
  </si>
  <si>
    <t>No site da ANEEL: Assuntos → Tarifas → Relatórios e Indicadores → Base de Dados das Tarifas das Distribuidoras, na opção "Componentes Tarifárias". Você preenche distribuidora, grupo, subgrupo, modalidade e classe, e lê a TUSD Fio B direto, sem imposto.</t>
  </si>
  <si>
    <t>À direita das células preenchíveis, seguem explicações.</t>
  </si>
  <si>
    <t>*Sundata.</t>
  </si>
  <si>
    <t>Da conta de energia, disponível lá ou publicamente pela concessionária.</t>
  </si>
  <si>
    <t>Se não há TUSD e TE separados na conta de energia, considere TE=TUSD.</t>
  </si>
  <si>
    <t>TE: custo da energia; TUSD: custo do transporte dela.</t>
  </si>
  <si>
    <t>Por fins de aproximação, desconsidero a ponta para o cálculo de Payback pois em Pernambuco ponta começa às 17:30, mas no horário a geração é tão pouca que desconsidero para facilitar cálculos.</t>
  </si>
  <si>
    <t>W -&gt; escolha do projetista.</t>
  </si>
  <si>
    <t>Escolher entre [1-1,25] -&gt; conferir no manual do inversor.</t>
  </si>
  <si>
    <t>V vide datasheet do módulo.</t>
  </si>
  <si>
    <t>Vide datasheet do módulo.</t>
  </si>
  <si>
    <t>Conexões no inversor.</t>
  </si>
  <si>
    <t>(Arredondado pra cima).</t>
  </si>
  <si>
    <r>
      <t>W; P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=1000*E</t>
    </r>
    <r>
      <rPr>
        <sz val="5"/>
        <color theme="1"/>
        <rFont val="Trebuchet MS"/>
        <family val="2"/>
        <scheme val="major"/>
      </rPr>
      <t>FV</t>
    </r>
    <r>
      <rPr>
        <sz val="8"/>
        <color theme="1"/>
        <rFont val="Trebuchet MS"/>
        <family val="2"/>
        <scheme val="major"/>
      </rPr>
      <t>/(30*GHI*ηsis).</t>
    </r>
  </si>
  <si>
    <t>ºC.</t>
  </si>
  <si>
    <r>
      <t>º/</t>
    </r>
    <r>
      <rPr>
        <b/>
        <sz val="8"/>
        <color theme="1"/>
        <rFont val="Trebuchet MS"/>
        <family val="2"/>
        <scheme val="major"/>
      </rPr>
      <t>Sul</t>
    </r>
    <r>
      <rPr>
        <sz val="8"/>
        <color theme="1"/>
        <rFont val="Trebuchet MS"/>
        <family val="2"/>
        <scheme val="major"/>
      </rPr>
      <t>.</t>
    </r>
  </si>
  <si>
    <t>º/Oeste.</t>
  </si>
  <si>
    <t>kWh/mês.</t>
  </si>
  <si>
    <t>R$/kWh.</t>
  </si>
  <si>
    <t>W (com nº inteiro de módulos).</t>
  </si>
  <si>
    <t>Aproximado.</t>
  </si>
  <si>
    <t>Geração estimada.</t>
  </si>
  <si>
    <t>Conferir datasheet e ver se o inversor suporta, precisa de VMPPTmax_Inverter_Datasheet &gt; do que este valor.</t>
  </si>
  <si>
    <t>Escolha ótima, se for possível escolher a inclinação (compensa pela inclinação da latitude).</t>
  </si>
  <si>
    <t>Preço item a item.</t>
  </si>
  <si>
    <t>Preço de um kit solar pronto.</t>
  </si>
  <si>
    <t>"Projeto adequado tem custo entre 4 a 7 R$/Wp".</t>
  </si>
  <si>
    <t>Baseado no aumento médio do custo da energia nos últimos anos.</t>
  </si>
  <si>
    <t>*Qnt. geração usada para suprir o próprio consumo, não injetada - escolher entre 20-40% se não houver armazenamento (BESS); com BESS, depende da estratégia adotada no sistema.</t>
  </si>
  <si>
    <t>Taxa usada para cálculo do Fluxo Descontado e VPL.</t>
  </si>
  <si>
    <t>Estimativa.</t>
  </si>
  <si>
    <t>Em torno de 1%-5% do custo de Energia Gerada para limpeza do módulos..=</t>
  </si>
  <si>
    <t>Em torno de 30-70%. Apenas para efeitos de troca do inversor após a vida útil.</t>
  </si>
  <si>
    <t>1º ano.</t>
  </si>
  <si>
    <t>2º ano em diante.</t>
  </si>
  <si>
    <t>TE_ef</t>
  </si>
  <si>
    <t>TUSD_ef</t>
  </si>
  <si>
    <t>FioB_ef</t>
  </si>
  <si>
    <r>
      <t>*Será decidido pela ANEEL nova valorização da energia injetável. Escolhi cenário 1: só vale TE; cenário 2: TE+TUSD-FioB*</t>
    </r>
    <r>
      <rPr>
        <strike/>
        <sz val="7"/>
        <color theme="1"/>
        <rFont val="Trebuchet MS"/>
        <family val="2"/>
        <scheme val="major"/>
      </rPr>
      <t>%</t>
    </r>
    <r>
      <rPr>
        <sz val="7"/>
        <color theme="1"/>
        <rFont val="Trebuchet MS"/>
        <family val="2"/>
        <scheme val="major"/>
      </rPr>
      <t>; cenário 3: preço cheio, TE+TUSD (teto, benefícios).</t>
    </r>
  </si>
  <si>
    <t>Células Auxiliares + Porcentagem FioB (desconta na injetada)</t>
  </si>
  <si>
    <t>Porcentagem Fio B</t>
  </si>
  <si>
    <t>90% = base (2029) até nova resolução ANEEL.</t>
  </si>
  <si>
    <t>TIR</t>
  </si>
  <si>
    <t>VPL</t>
  </si>
  <si>
    <t>VPL: Soma de todos os fluxos de caixa trazidos a valor presente pela taxa de desconto, incluindo o investimento inicial. Representa o ganho líquido do projeto em valores de hoje. VPL &gt; 0 indica que o projeto se paga e ainda gera retorno acima da taxa de desconto adotada. Sua progressão pode ser vista no fluxo descontado.</t>
  </si>
  <si>
    <t>TIR: Taxa de desconto que zera o VPL; representa a rentabilidade equivalente do investimento.</t>
  </si>
  <si>
    <t>(Grupo A) custo energia injetada</t>
  </si>
  <si>
    <t>Porcentagem fio B</t>
  </si>
  <si>
    <t>90% = base 2029, irá mudar com nova resolução ANEEL</t>
  </si>
  <si>
    <t>(Grupo A) custo demanda de geração TUSDG</t>
  </si>
  <si>
    <t>(Grupo A) Demanda de geração contratada ótima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</si>
</sst>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6" formatCode="&quot;R$&quot;\ #,##0.00"/>
  </numFmts>
  <fonts count="19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ajor"/>
    </font>
    <font>
      <sz val="9"/>
      <color theme="1"/>
      <name val="Trebuchet MS"/>
      <family val="2"/>
      <scheme val="major"/>
    </font>
    <font>
      <sz val="8"/>
      <color theme="1"/>
      <name val="Trebuchet MS"/>
      <family val="2"/>
      <scheme val="major"/>
    </font>
    <font>
      <sz val="8"/>
      <color rgb="FF000000"/>
      <name val="Trebuchet MS"/>
      <family val="2"/>
      <scheme val="major"/>
    </font>
    <font>
      <sz val="7"/>
      <color theme="1"/>
      <name val="Trebuchet MS"/>
      <family val="2"/>
      <scheme val="major"/>
    </font>
    <font>
      <sz val="7"/>
      <color rgb="FF000000"/>
      <name val="Trebuchet MS"/>
      <family val="2"/>
      <scheme val="major"/>
    </font>
    <font>
      <sz val="15"/>
      <color theme="1"/>
      <name val="Trebuchet MS"/>
      <family val="2"/>
      <scheme val="major"/>
    </font>
    <font>
      <sz val="6.5"/>
      <color theme="1"/>
      <name val="Trebuchet MS"/>
      <family val="2"/>
      <scheme val="major"/>
    </font>
    <font>
      <sz val="6.7"/>
      <color theme="1"/>
      <name val="Trebuchet MS"/>
      <family val="2"/>
      <scheme val="major"/>
    </font>
    <font>
      <b/>
      <sz val="11"/>
      <color theme="1"/>
      <name val="Trebuchet MS"/>
      <family val="2"/>
      <scheme val="major"/>
    </font>
    <font>
      <b/>
      <sz val="9"/>
      <color theme="1"/>
      <name val="Trebuchet MS"/>
      <family val="2"/>
      <scheme val="major"/>
    </font>
    <font>
      <sz val="10"/>
      <color theme="1"/>
      <name val="Trebuchet MS"/>
      <family val="2"/>
      <scheme val="major"/>
    </font>
    <font>
      <i/>
      <sz val="8"/>
      <color theme="1"/>
      <name val="Trebuchet MS"/>
      <family val="2"/>
      <scheme val="major"/>
    </font>
    <font>
      <b/>
      <sz val="8"/>
      <color theme="1"/>
      <name val="Trebuchet MS"/>
      <family val="2"/>
      <scheme val="major"/>
    </font>
    <font>
      <sz val="5"/>
      <color theme="1"/>
      <name val="Trebuchet MS"/>
      <family val="2"/>
      <scheme val="major"/>
    </font>
    <font>
      <b/>
      <sz val="10"/>
      <color theme="1"/>
      <name val="Trebuchet MS"/>
      <family val="2"/>
      <scheme val="major"/>
    </font>
    <font>
      <sz val="12"/>
      <color theme="1"/>
      <name val="Trebuchet MS"/>
      <family val="2"/>
      <scheme val="major"/>
    </font>
    <font>
      <strike/>
      <sz val="7"/>
      <color theme="1"/>
      <name val="Trebuchet MS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3" fillId="6" borderId="3" xfId="0" applyFont="1" applyFill="1" applyBorder="1"/>
    <xf numFmtId="0" fontId="3" fillId="6" borderId="3" xfId="0" applyFont="1" applyFill="1" applyBorder="1"/>
    <xf numFmtId="0" fontId="3" fillId="8" borderId="3" xfId="0" applyFont="1" applyFill="1" applyBorder="1"/>
    <xf numFmtId="0" fontId="4" fillId="8" borderId="3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9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0" fillId="0" borderId="0" xfId="0" applyFont="1"/>
    <xf numFmtId="0" fontId="3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4" borderId="2" xfId="0" applyFont="1" applyFill="1" applyBorder="1"/>
    <xf numFmtId="0" fontId="10" fillId="6" borderId="0" xfId="0" applyFont="1" applyFill="1" applyAlignment="1">
      <alignment horizontal="center"/>
    </xf>
    <xf numFmtId="0" fontId="3" fillId="0" borderId="15" xfId="0" applyFont="1" applyBorder="1" applyAlignment="1">
      <alignment horizontal="center"/>
    </xf>
    <xf numFmtId="0" fontId="1" fillId="9" borderId="2" xfId="0" applyFont="1" applyFill="1" applyBorder="1"/>
    <xf numFmtId="0" fontId="11" fillId="5" borderId="3" xfId="0" applyFont="1" applyFill="1" applyBorder="1" applyAlignment="1">
      <alignment horizontal="left"/>
    </xf>
    <xf numFmtId="0" fontId="11" fillId="5" borderId="15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left"/>
    </xf>
    <xf numFmtId="0" fontId="13" fillId="0" borderId="0" xfId="0" applyFont="1"/>
    <xf numFmtId="0" fontId="11" fillId="0" borderId="16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2" borderId="11" xfId="0" applyFont="1" applyFill="1" applyBorder="1"/>
    <xf numFmtId="0" fontId="3" fillId="2" borderId="12" xfId="0" applyFont="1" applyFill="1" applyBorder="1"/>
    <xf numFmtId="0" fontId="1" fillId="2" borderId="13" xfId="0" applyFont="1" applyFill="1" applyBorder="1"/>
    <xf numFmtId="0" fontId="11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11" fillId="2" borderId="6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7" xfId="0" applyFont="1" applyFill="1" applyBorder="1" applyAlignment="1">
      <alignment horizontal="left"/>
    </xf>
    <xf numFmtId="0" fontId="14" fillId="0" borderId="6" xfId="0" applyFont="1" applyBorder="1"/>
    <xf numFmtId="0" fontId="14" fillId="0" borderId="0" xfId="0" applyFont="1"/>
    <xf numFmtId="0" fontId="14" fillId="0" borderId="7" xfId="0" applyFont="1" applyBorder="1"/>
    <xf numFmtId="0" fontId="11" fillId="2" borderId="8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0" fontId="13" fillId="0" borderId="6" xfId="0" applyFont="1" applyBorder="1"/>
    <xf numFmtId="0" fontId="13" fillId="0" borderId="0" xfId="0" applyFont="1"/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2" fillId="0" borderId="1" xfId="0" applyFont="1" applyBorder="1"/>
    <xf numFmtId="0" fontId="2" fillId="0" borderId="3" xfId="0" applyFont="1" applyBorder="1"/>
    <xf numFmtId="0" fontId="1" fillId="4" borderId="1" xfId="0" applyFont="1" applyFill="1" applyBorder="1"/>
    <xf numFmtId="0" fontId="1" fillId="9" borderId="1" xfId="0" applyFont="1" applyFill="1" applyBorder="1"/>
    <xf numFmtId="0" fontId="1" fillId="4" borderId="21" xfId="0" applyFont="1" applyFill="1" applyBorder="1"/>
    <xf numFmtId="0" fontId="1" fillId="9" borderId="21" xfId="0" applyFont="1" applyFill="1" applyBorder="1"/>
    <xf numFmtId="0" fontId="2" fillId="0" borderId="2" xfId="0" applyFont="1" applyBorder="1"/>
    <xf numFmtId="0" fontId="1" fillId="0" borderId="2" xfId="0" applyFont="1" applyBorder="1"/>
    <xf numFmtId="164" fontId="1" fillId="7" borderId="13" xfId="0" applyNumberFormat="1" applyFont="1" applyFill="1" applyBorder="1" applyAlignment="1">
      <alignment horizontal="center"/>
    </xf>
    <xf numFmtId="164" fontId="1" fillId="7" borderId="19" xfId="0" applyNumberFormat="1" applyFont="1" applyFill="1" applyBorder="1" applyAlignment="1">
      <alignment horizontal="center"/>
    </xf>
    <xf numFmtId="164" fontId="1" fillId="7" borderId="13" xfId="0" applyNumberFormat="1" applyFont="1" applyFill="1" applyBorder="1"/>
    <xf numFmtId="164" fontId="1" fillId="7" borderId="19" xfId="0" applyNumberFormat="1" applyFont="1" applyFill="1" applyBorder="1"/>
    <xf numFmtId="0" fontId="12" fillId="0" borderId="0" xfId="0" applyFont="1" applyAlignment="1">
      <alignment horizontal="right"/>
    </xf>
    <xf numFmtId="164" fontId="16" fillId="7" borderId="22" xfId="0" applyNumberFormat="1" applyFont="1" applyFill="1" applyBorder="1"/>
    <xf numFmtId="164" fontId="16" fillId="7" borderId="19" xfId="0" applyNumberFormat="1" applyFont="1" applyFill="1" applyBorder="1"/>
    <xf numFmtId="0" fontId="17" fillId="6" borderId="0" xfId="0" applyFont="1" applyFill="1" applyAlignment="1">
      <alignment horizontal="center"/>
    </xf>
    <xf numFmtId="0" fontId="12" fillId="0" borderId="0" xfId="0" applyFont="1"/>
    <xf numFmtId="0" fontId="1" fillId="9" borderId="0" xfId="0" applyFont="1" applyFill="1"/>
    <xf numFmtId="0" fontId="11" fillId="7" borderId="0" xfId="0" applyFont="1" applyFill="1"/>
    <xf numFmtId="0" fontId="7" fillId="0" borderId="0" xfId="0" applyFont="1" applyAlignment="1">
      <alignment horizontal="center" vertical="center"/>
    </xf>
    <xf numFmtId="0" fontId="16" fillId="9" borderId="2" xfId="0" applyFont="1" applyFill="1" applyBorder="1" applyAlignment="1">
      <alignment horizontal="center" vertical="center" wrapText="1"/>
    </xf>
    <xf numFmtId="0" fontId="12" fillId="9" borderId="24" xfId="0" applyFont="1" applyFill="1" applyBorder="1" applyAlignment="1">
      <alignment horizontal="center" vertical="center" wrapText="1"/>
    </xf>
    <xf numFmtId="0" fontId="16" fillId="9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12" fillId="9" borderId="25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4" fillId="7" borderId="22" xfId="0" applyFont="1" applyFill="1" applyBorder="1"/>
    <xf numFmtId="0" fontId="14" fillId="7" borderId="22" xfId="0" applyFont="1" applyFill="1" applyBorder="1" applyAlignment="1">
      <alignment horizontal="left"/>
    </xf>
    <xf numFmtId="0" fontId="14" fillId="7" borderId="26" xfId="0" applyFont="1" applyFill="1" applyBorder="1" applyAlignment="1">
      <alignment horizontal="left"/>
    </xf>
    <xf numFmtId="164" fontId="3" fillId="7" borderId="23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14" fillId="7" borderId="22" xfId="0" applyFont="1" applyFill="1" applyBorder="1" applyAlignment="1">
      <alignment horizontal="left" vertical="center" wrapText="1"/>
    </xf>
    <xf numFmtId="0" fontId="14" fillId="7" borderId="26" xfId="0" applyFont="1" applyFill="1" applyBorder="1" applyAlignment="1">
      <alignment horizontal="left" vertical="center" wrapText="1"/>
    </xf>
    <xf numFmtId="164" fontId="1" fillId="7" borderId="13" xfId="0" applyNumberFormat="1" applyFont="1" applyFill="1" applyBorder="1" applyAlignment="1">
      <alignment horizontal="left"/>
    </xf>
    <xf numFmtId="164" fontId="1" fillId="7" borderId="19" xfId="0" applyNumberFormat="1" applyFont="1" applyFill="1" applyBorder="1" applyAlignment="1">
      <alignment horizontal="left"/>
    </xf>
    <xf numFmtId="166" fontId="12" fillId="9" borderId="2" xfId="0" applyNumberFormat="1" applyFont="1" applyFill="1" applyBorder="1"/>
    <xf numFmtId="166" fontId="12" fillId="4" borderId="2" xfId="0" applyNumberFormat="1" applyFont="1" applyFill="1" applyBorder="1"/>
    <xf numFmtId="0" fontId="12" fillId="4" borderId="2" xfId="0" applyFont="1" applyFill="1" applyBorder="1"/>
    <xf numFmtId="0" fontId="13" fillId="0" borderId="0" xfId="0" applyFont="1" applyAlignment="1">
      <alignment horizontal="left"/>
    </xf>
    <xf numFmtId="0" fontId="12" fillId="4" borderId="18" xfId="0" applyFont="1" applyFill="1" applyBorder="1" applyAlignment="1">
      <alignment horizontal="left" wrapText="1"/>
    </xf>
    <xf numFmtId="0" fontId="1" fillId="6" borderId="15" xfId="0" applyFont="1" applyFill="1" applyBorder="1"/>
    <xf numFmtId="0" fontId="1" fillId="6" borderId="20" xfId="0" applyFont="1" applyFill="1" applyBorder="1"/>
    <xf numFmtId="0" fontId="10" fillId="6" borderId="3" xfId="0" applyFont="1" applyFill="1" applyBorder="1" applyAlignment="1"/>
    <xf numFmtId="0" fontId="10" fillId="6" borderId="15" xfId="0" applyFont="1" applyFill="1" applyBorder="1" applyAlignment="1"/>
    <xf numFmtId="0" fontId="10" fillId="6" borderId="20" xfId="0" applyFont="1" applyFill="1" applyBorder="1" applyAlignment="1"/>
    <xf numFmtId="0" fontId="1" fillId="6" borderId="3" xfId="0" applyFont="1" applyFill="1" applyBorder="1"/>
    <xf numFmtId="0" fontId="3" fillId="6" borderId="3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left"/>
    </xf>
    <xf numFmtId="0" fontId="3" fillId="8" borderId="15" xfId="0" applyFont="1" applyFill="1" applyBorder="1"/>
    <xf numFmtId="0" fontId="3" fillId="8" borderId="14" xfId="0" applyFont="1" applyFill="1" applyBorder="1"/>
    <xf numFmtId="0" fontId="4" fillId="8" borderId="15" xfId="0" applyFont="1" applyFill="1" applyBorder="1"/>
    <xf numFmtId="0" fontId="4" fillId="8" borderId="14" xfId="0" applyFont="1" applyFill="1" applyBorder="1"/>
    <xf numFmtId="0" fontId="3" fillId="6" borderId="15" xfId="0" applyFont="1" applyFill="1" applyBorder="1"/>
    <xf numFmtId="0" fontId="3" fillId="6" borderId="14" xfId="0" applyFont="1" applyFill="1" applyBorder="1"/>
    <xf numFmtId="0" fontId="3" fillId="6" borderId="3" xfId="0" applyFont="1" applyFill="1" applyBorder="1" applyAlignment="1"/>
    <xf numFmtId="0" fontId="2" fillId="9" borderId="2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0" fontId="2" fillId="9" borderId="2" xfId="0" applyNumberFormat="1" applyFont="1" applyFill="1" applyBorder="1" applyAlignment="1">
      <alignment horizontal="center"/>
    </xf>
    <xf numFmtId="9" fontId="1" fillId="0" borderId="0" xfId="0" applyNumberFormat="1" applyFont="1"/>
    <xf numFmtId="0" fontId="12" fillId="0" borderId="0" xfId="0" applyFont="1" applyAlignment="1">
      <alignment horizontal="left" vertical="center" wrapText="1"/>
    </xf>
    <xf numFmtId="0" fontId="2" fillId="9" borderId="28" xfId="0" applyFont="1" applyFill="1" applyBorder="1"/>
    <xf numFmtId="9" fontId="2" fillId="9" borderId="29" xfId="0" applyNumberFormat="1" applyFont="1" applyFill="1" applyBorder="1"/>
    <xf numFmtId="9" fontId="12" fillId="4" borderId="2" xfId="0" applyNumberFormat="1" applyFont="1" applyFill="1" applyBorder="1" applyAlignment="1">
      <alignment horizontal="left"/>
    </xf>
    <xf numFmtId="9" fontId="2" fillId="9" borderId="2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9900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r>
              <a:rPr lang="pt-BR"/>
              <a:t>Payback simples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Acumulado (R$)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Payback!$C$15:$C$45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Payback!$J$15:$J$45</c:f>
              <c:numCache>
                <c:formatCode>General</c:formatCode>
                <c:ptCount val="31"/>
                <c:pt idx="0">
                  <c:v>-25800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4FC-8360-19ACE5966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227806383"/>
        <c:axId val="1227805423"/>
      </c:barChart>
      <c:catAx>
        <c:axId val="122780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+mn-ea"/>
                    <a:cs typeface="+mn-cs"/>
                  </a:defRPr>
                </a:pPr>
                <a:r>
                  <a:rPr lang="pt-BR" sz="1200"/>
                  <a:t>Ano</a:t>
                </a:r>
              </a:p>
            </c:rich>
          </c:tx>
          <c:layout>
            <c:manualLayout>
              <c:xMode val="edge"/>
              <c:yMode val="edge"/>
              <c:x val="0.93638360288662825"/>
              <c:y val="0.1442221624735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5423"/>
        <c:crosses val="autoZero"/>
        <c:auto val="1"/>
        <c:lblAlgn val="ctr"/>
        <c:lblOffset val="100"/>
        <c:noMultiLvlLbl val="0"/>
      </c:catAx>
      <c:valAx>
        <c:axId val="122780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  <c:crossAx val="1227806383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r>
              <a:rPr lang="en-US"/>
              <a:t>Payback descontado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Fluxo Descontado Acumulado</c:v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Payback!$C$15:$C$45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Payback!$L$15:$L$45</c:f>
              <c:numCache>
                <c:formatCode>General</c:formatCode>
                <c:ptCount val="31"/>
                <c:pt idx="0">
                  <c:v>-25800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ACA-91E9-7509E81A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88599151"/>
        <c:axId val="1814660607"/>
      </c:barChart>
      <c:catAx>
        <c:axId val="188859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 panose="020B0400000000000000" pitchFamily="34" charset="-128"/>
                    <a:ea typeface="Yu Gothic" panose="020B0400000000000000" pitchFamily="34" charset="-128"/>
                    <a:cs typeface="+mn-cs"/>
                  </a:defRPr>
                </a:pPr>
                <a:r>
                  <a:rPr lang="pt-BR"/>
                  <a:t>Ano</a:t>
                </a:r>
              </a:p>
            </c:rich>
          </c:tx>
          <c:layout>
            <c:manualLayout>
              <c:xMode val="edge"/>
              <c:yMode val="edge"/>
              <c:x val="0.93997574717778187"/>
              <c:y val="0.17426971184913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 panose="020B0400000000000000" pitchFamily="34" charset="-128"/>
                  <a:ea typeface="Yu Gothic" panose="020B0400000000000000" pitchFamily="34" charset="-128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14660607"/>
        <c:crosses val="autoZero"/>
        <c:auto val="1"/>
        <c:lblAlgn val="ctr"/>
        <c:lblOffset val="100"/>
        <c:noMultiLvlLbl val="0"/>
      </c:catAx>
      <c:valAx>
        <c:axId val="18146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 panose="020B0400000000000000" pitchFamily="34" charset="-128"/>
                <a:ea typeface="Yu Gothic" panose="020B0400000000000000" pitchFamily="34" charset="-128"/>
                <a:cs typeface="+mn-cs"/>
              </a:defRPr>
            </a:pPr>
            <a:endParaRPr lang="pt-BR"/>
          </a:p>
        </c:txPr>
        <c:crossAx val="188859915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Yu Gothic" panose="020B0400000000000000" pitchFamily="34" charset="-128"/>
              <a:ea typeface="Yu Gothic" panose="020B0400000000000000" pitchFamily="34" charset="-128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Yu Gothic" panose="020B0400000000000000" pitchFamily="34" charset="-128"/>
          <a:ea typeface="Yu Gothic" panose="020B0400000000000000" pitchFamily="34" charset="-128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396875</xdr:colOff>
      <xdr:row>13</xdr:row>
      <xdr:rowOff>0</xdr:rowOff>
    </xdr:from>
    <xdr:to>
      <xdr:col>22</xdr:col>
      <xdr:colOff>127000</xdr:colOff>
      <xdr:row>42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604ECB-B572-4825-8C70-AAD4E487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357187</xdr:colOff>
      <xdr:row>43</xdr:row>
      <xdr:rowOff>101600</xdr:rowOff>
    </xdr:from>
    <xdr:to>
      <xdr:col>22</xdr:col>
      <xdr:colOff>152400</xdr:colOff>
      <xdr:row>73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B57CFF-F380-7B5D-DAA8-CBB291E68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ado">
  <a:themeElements>
    <a:clrScheme name="Amarelo Verd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Facetado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ado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1829-3C9E-49B7-A1F1-C5044959D3C8}">
  <dimension ref="A1:M75"/>
  <sheetViews>
    <sheetView topLeftCell="A9" zoomScaleNormal="100" workbookViewId="0">
      <selection activeCell="E32" sqref="E32"/>
    </sheetView>
  </sheetViews>
  <sheetFormatPr defaultRowHeight="14.5" x14ac:dyDescent="0.35"/>
  <cols>
    <col min="1" max="4" width="8.6640625" style="1"/>
    <col min="5" max="7" width="11.58203125" style="1" customWidth="1"/>
    <col min="8" max="8" width="13.1640625" style="1" customWidth="1"/>
    <col min="9" max="16384" width="8.6640625" style="1"/>
  </cols>
  <sheetData>
    <row r="1" spans="1:13" x14ac:dyDescent="0.35">
      <c r="A1" s="14" t="s">
        <v>0</v>
      </c>
      <c r="B1" s="14"/>
      <c r="C1" s="14"/>
      <c r="D1" s="14"/>
      <c r="E1" s="14"/>
    </row>
    <row r="3" spans="1:13" x14ac:dyDescent="0.35">
      <c r="A3" s="107" t="s">
        <v>106</v>
      </c>
      <c r="B3" s="108"/>
      <c r="C3" s="108"/>
      <c r="D3" s="108"/>
      <c r="E3" s="108"/>
      <c r="F3" s="108"/>
      <c r="G3" s="108"/>
      <c r="H3" s="108"/>
      <c r="I3" s="109"/>
      <c r="J3" s="110"/>
      <c r="K3" s="106"/>
    </row>
    <row r="4" spans="1:13" ht="15" thickBot="1" x14ac:dyDescent="0.4"/>
    <row r="5" spans="1:13" ht="15" thickBot="1" x14ac:dyDescent="0.4">
      <c r="G5" s="15" t="s">
        <v>3</v>
      </c>
      <c r="H5" s="16" t="s">
        <v>1</v>
      </c>
      <c r="I5" s="17"/>
      <c r="J5" s="18"/>
    </row>
    <row r="6" spans="1:13" ht="15" thickBot="1" x14ac:dyDescent="0.4">
      <c r="A6" s="19" t="s">
        <v>32</v>
      </c>
      <c r="B6" s="19"/>
      <c r="C6" s="19"/>
      <c r="D6" s="19"/>
      <c r="E6" s="19"/>
      <c r="F6" s="19"/>
      <c r="H6" s="16" t="s">
        <v>2</v>
      </c>
      <c r="I6" s="20"/>
      <c r="J6" s="21"/>
    </row>
    <row r="7" spans="1:13" ht="15" thickBot="1" x14ac:dyDescent="0.4">
      <c r="A7" s="22" t="s">
        <v>27</v>
      </c>
      <c r="B7" s="23"/>
      <c r="C7" s="23"/>
      <c r="D7" s="23"/>
      <c r="E7" s="24" t="s">
        <v>28</v>
      </c>
      <c r="F7" s="25" t="s">
        <v>42</v>
      </c>
      <c r="H7" s="11"/>
      <c r="I7" s="11"/>
      <c r="J7" s="11"/>
    </row>
    <row r="8" spans="1:13" ht="15" thickBot="1" x14ac:dyDescent="0.4">
      <c r="A8" s="22" t="s">
        <v>29</v>
      </c>
      <c r="B8" s="23"/>
      <c r="C8" s="23"/>
      <c r="D8" s="23"/>
      <c r="E8" s="114" t="s">
        <v>30</v>
      </c>
      <c r="F8" s="10" t="s">
        <v>109</v>
      </c>
      <c r="H8" s="11"/>
      <c r="I8" s="11"/>
      <c r="J8" s="11"/>
    </row>
    <row r="9" spans="1:13" ht="26.5" customHeight="1" thickBot="1" x14ac:dyDescent="0.4">
      <c r="A9" s="26" t="s">
        <v>4</v>
      </c>
      <c r="B9" s="26"/>
      <c r="C9" s="26"/>
      <c r="D9" s="27"/>
      <c r="E9" s="104" t="s">
        <v>14</v>
      </c>
      <c r="F9" s="10"/>
    </row>
    <row r="10" spans="1:13" ht="15" thickBot="1" x14ac:dyDescent="0.4">
      <c r="A10" s="28" t="s">
        <v>5</v>
      </c>
      <c r="B10" s="28"/>
      <c r="C10" s="28"/>
      <c r="D10" s="29"/>
      <c r="E10" s="24"/>
      <c r="F10" s="30" t="s">
        <v>122</v>
      </c>
      <c r="G10" s="31"/>
      <c r="H10" s="32" t="s">
        <v>26</v>
      </c>
      <c r="I10" s="33"/>
      <c r="J10" s="34"/>
      <c r="K10" s="35" t="s">
        <v>38</v>
      </c>
      <c r="L10" s="36"/>
      <c r="M10" s="37"/>
    </row>
    <row r="11" spans="1:13" ht="15" thickBot="1" x14ac:dyDescent="0.4">
      <c r="A11" s="28" t="s">
        <v>6</v>
      </c>
      <c r="B11" s="28"/>
      <c r="C11" s="28"/>
      <c r="D11" s="29"/>
      <c r="E11" s="24">
        <v>23</v>
      </c>
      <c r="F11" s="38" t="s">
        <v>123</v>
      </c>
      <c r="G11" s="39"/>
      <c r="H11" s="39"/>
      <c r="I11" s="39"/>
      <c r="J11" s="40"/>
      <c r="K11" s="41" t="s">
        <v>39</v>
      </c>
      <c r="L11" s="42"/>
      <c r="M11" s="43"/>
    </row>
    <row r="12" spans="1:13" ht="15" thickBot="1" x14ac:dyDescent="0.4">
      <c r="A12" s="28" t="s">
        <v>7</v>
      </c>
      <c r="B12" s="28"/>
      <c r="C12" s="28"/>
      <c r="D12" s="29"/>
      <c r="E12" s="24"/>
      <c r="F12" s="44" t="s">
        <v>124</v>
      </c>
      <c r="G12" s="45"/>
      <c r="H12" s="45"/>
      <c r="I12" s="45"/>
      <c r="J12" s="46"/>
      <c r="K12" s="47" t="s">
        <v>40</v>
      </c>
      <c r="L12" s="48"/>
      <c r="M12" s="49"/>
    </row>
    <row r="13" spans="1:13" ht="15" thickBot="1" x14ac:dyDescent="0.4">
      <c r="A13" s="28" t="s">
        <v>41</v>
      </c>
      <c r="B13" s="28"/>
      <c r="C13" s="28"/>
      <c r="D13" s="29"/>
      <c r="E13" s="24"/>
      <c r="F13" s="50" t="s">
        <v>110</v>
      </c>
      <c r="G13" s="51"/>
      <c r="H13" s="51"/>
      <c r="I13" s="51"/>
      <c r="J13" s="51"/>
    </row>
    <row r="14" spans="1:13" ht="15" thickBot="1" x14ac:dyDescent="0.4">
      <c r="A14" s="28" t="s">
        <v>34</v>
      </c>
      <c r="B14" s="28"/>
      <c r="C14" s="28"/>
      <c r="D14" s="29"/>
      <c r="E14" s="24"/>
      <c r="F14" s="10" t="s">
        <v>111</v>
      </c>
    </row>
    <row r="15" spans="1:13" ht="15" thickBot="1" x14ac:dyDescent="0.4">
      <c r="A15" s="28" t="s">
        <v>35</v>
      </c>
      <c r="B15" s="28"/>
      <c r="C15" s="28"/>
      <c r="D15" s="29"/>
      <c r="E15" s="24"/>
      <c r="F15" s="10" t="s">
        <v>112</v>
      </c>
    </row>
    <row r="16" spans="1:13" ht="15" thickBot="1" x14ac:dyDescent="0.4">
      <c r="A16" s="55" t="s">
        <v>36</v>
      </c>
      <c r="B16" s="56"/>
      <c r="C16" s="56"/>
      <c r="D16" s="56"/>
      <c r="E16" s="24"/>
      <c r="F16" s="57" t="s">
        <v>113</v>
      </c>
      <c r="G16" s="57"/>
      <c r="H16" s="57"/>
      <c r="I16" s="57"/>
      <c r="J16" s="57"/>
    </row>
    <row r="17" spans="1:10" ht="15" thickBot="1" x14ac:dyDescent="0.4">
      <c r="A17" s="55" t="s">
        <v>37</v>
      </c>
      <c r="B17" s="56"/>
      <c r="C17" s="56"/>
      <c r="D17" s="56"/>
      <c r="E17" s="24"/>
      <c r="F17" s="103" t="s">
        <v>114</v>
      </c>
      <c r="G17" s="57"/>
      <c r="H17" s="57"/>
      <c r="I17" s="57"/>
      <c r="J17" s="57"/>
    </row>
    <row r="18" spans="1:10" ht="15" thickBot="1" x14ac:dyDescent="0.4">
      <c r="A18" s="55" t="s">
        <v>157</v>
      </c>
      <c r="B18" s="56"/>
      <c r="C18" s="56"/>
      <c r="D18" s="56"/>
      <c r="E18" s="24"/>
      <c r="F18" s="103"/>
      <c r="G18" s="57"/>
      <c r="H18" s="57"/>
      <c r="I18" s="57"/>
      <c r="J18" s="57"/>
    </row>
    <row r="19" spans="1:10" ht="15" thickBot="1" x14ac:dyDescent="0.4">
      <c r="A19" s="28" t="s">
        <v>107</v>
      </c>
      <c r="B19" s="28"/>
      <c r="C19" s="28"/>
      <c r="D19" s="29"/>
      <c r="E19" s="24"/>
      <c r="F19" s="25" t="s">
        <v>108</v>
      </c>
    </row>
    <row r="20" spans="1:10" ht="15" thickBot="1" x14ac:dyDescent="0.4">
      <c r="A20" s="29" t="s">
        <v>155</v>
      </c>
      <c r="B20" s="52"/>
      <c r="C20" s="52"/>
      <c r="D20" s="53"/>
      <c r="E20" s="129">
        <v>0.9</v>
      </c>
      <c r="F20" s="25" t="s">
        <v>156</v>
      </c>
    </row>
    <row r="21" spans="1:10" ht="15" thickBot="1" x14ac:dyDescent="0.4">
      <c r="A21" s="28" t="s">
        <v>8</v>
      </c>
      <c r="B21" s="28"/>
      <c r="C21" s="28"/>
      <c r="D21" s="29"/>
      <c r="E21" s="24"/>
      <c r="F21" s="10" t="s">
        <v>125</v>
      </c>
    </row>
    <row r="22" spans="1:10" ht="15" thickBot="1" x14ac:dyDescent="0.4">
      <c r="A22" s="28" t="s">
        <v>9</v>
      </c>
      <c r="B22" s="28"/>
      <c r="C22" s="28"/>
      <c r="D22" s="29"/>
      <c r="E22" s="24"/>
      <c r="F22" s="10" t="s">
        <v>15</v>
      </c>
    </row>
    <row r="23" spans="1:10" ht="15" thickBot="1" x14ac:dyDescent="0.4">
      <c r="A23" s="28" t="s">
        <v>78</v>
      </c>
      <c r="B23" s="28"/>
      <c r="C23" s="28"/>
      <c r="D23" s="29"/>
      <c r="E23" s="24"/>
      <c r="F23" s="10" t="s">
        <v>115</v>
      </c>
    </row>
    <row r="24" spans="1:10" ht="15" thickBot="1" x14ac:dyDescent="0.4">
      <c r="A24" s="28" t="s">
        <v>10</v>
      </c>
      <c r="B24" s="28"/>
      <c r="C24" s="28"/>
      <c r="D24" s="29"/>
      <c r="E24" s="24"/>
      <c r="F24" s="10" t="s">
        <v>116</v>
      </c>
    </row>
    <row r="25" spans="1:10" ht="15" thickBot="1" x14ac:dyDescent="0.4">
      <c r="A25" s="28" t="s">
        <v>11</v>
      </c>
      <c r="B25" s="28"/>
      <c r="C25" s="28"/>
      <c r="D25" s="29"/>
      <c r="E25" s="24"/>
      <c r="F25" s="10" t="s">
        <v>117</v>
      </c>
    </row>
    <row r="26" spans="1:10" ht="15" thickBot="1" x14ac:dyDescent="0.4">
      <c r="A26" s="58" t="s">
        <v>13</v>
      </c>
      <c r="B26" s="58"/>
      <c r="C26" s="58"/>
      <c r="D26" s="55"/>
      <c r="E26" s="24"/>
      <c r="F26" s="10" t="s">
        <v>118</v>
      </c>
    </row>
    <row r="27" spans="1:10" ht="15" thickBot="1" x14ac:dyDescent="0.4">
      <c r="A27" s="28" t="s">
        <v>12</v>
      </c>
      <c r="B27" s="28"/>
      <c r="C27" s="28"/>
      <c r="D27" s="29"/>
      <c r="E27" s="24"/>
      <c r="F27" s="10" t="s">
        <v>119</v>
      </c>
    </row>
    <row r="29" spans="1:10" ht="15" thickBot="1" x14ac:dyDescent="0.4">
      <c r="A29" s="19" t="s">
        <v>33</v>
      </c>
      <c r="B29" s="19"/>
      <c r="C29" s="19"/>
      <c r="D29" s="19"/>
      <c r="E29" s="19"/>
      <c r="F29" s="19"/>
    </row>
    <row r="30" spans="1:10" ht="15" thickBot="1" x14ac:dyDescent="0.4">
      <c r="A30" s="28" t="s">
        <v>16</v>
      </c>
      <c r="B30" s="28"/>
      <c r="C30" s="28"/>
      <c r="D30" s="29"/>
      <c r="E30" s="21">
        <f>E21</f>
        <v>0</v>
      </c>
      <c r="F30" s="10" t="s">
        <v>25</v>
      </c>
    </row>
    <row r="31" spans="1:10" ht="15" thickBot="1" x14ac:dyDescent="0.4">
      <c r="A31" s="28" t="s">
        <v>43</v>
      </c>
      <c r="B31" s="28"/>
      <c r="C31" s="28"/>
      <c r="D31" s="29"/>
      <c r="E31" s="21">
        <f>(E14+E15)</f>
        <v>0</v>
      </c>
      <c r="F31" s="10" t="s">
        <v>126</v>
      </c>
    </row>
    <row r="32" spans="1:10" ht="15" thickBot="1" x14ac:dyDescent="0.4">
      <c r="A32" s="29" t="s">
        <v>154</v>
      </c>
      <c r="B32" s="52"/>
      <c r="C32" s="52"/>
      <c r="D32" s="53"/>
      <c r="E32" s="21" t="e">
        <f>#REF!+#REF!</f>
        <v>#REF!</v>
      </c>
      <c r="F32" s="10" t="s">
        <v>126</v>
      </c>
    </row>
    <row r="33" spans="1:10" ht="15" thickBot="1" x14ac:dyDescent="0.4">
      <c r="A33" s="29" t="s">
        <v>44</v>
      </c>
      <c r="B33" s="52"/>
      <c r="C33" s="52"/>
      <c r="D33" s="52"/>
      <c r="E33" s="21">
        <f>E16+E17</f>
        <v>0</v>
      </c>
      <c r="F33" s="10" t="s">
        <v>126</v>
      </c>
    </row>
    <row r="34" spans="1:10" ht="15" thickBot="1" x14ac:dyDescent="0.4">
      <c r="A34" s="28" t="s">
        <v>45</v>
      </c>
      <c r="B34" s="28"/>
      <c r="C34" s="28"/>
      <c r="D34" s="29"/>
      <c r="E34" s="21">
        <f>E14+E15-E19*Payback!$P$6</f>
        <v>0</v>
      </c>
      <c r="F34" s="10" t="s">
        <v>31</v>
      </c>
    </row>
    <row r="35" spans="1:10" ht="15" thickBot="1" x14ac:dyDescent="0.4">
      <c r="A35" s="58" t="s">
        <v>158</v>
      </c>
      <c r="B35" s="58"/>
      <c r="C35" s="58"/>
      <c r="D35" s="55"/>
      <c r="E35" s="21" t="e">
        <f>E40/1000*(1-Payback!E5)</f>
        <v>#DIV/0!</v>
      </c>
      <c r="F35" s="10"/>
    </row>
    <row r="36" spans="1:10" ht="15" thickBot="1" x14ac:dyDescent="0.4">
      <c r="A36" s="28" t="s">
        <v>19</v>
      </c>
      <c r="B36" s="28"/>
      <c r="C36" s="28"/>
      <c r="D36" s="29"/>
      <c r="E36" s="21" t="e">
        <f>E30*1000/(30*E22*E13)</f>
        <v>#DIV/0!</v>
      </c>
      <c r="F36" s="30" t="s">
        <v>121</v>
      </c>
      <c r="G36" s="54"/>
      <c r="H36" s="54"/>
      <c r="I36" s="54"/>
      <c r="J36" s="54"/>
    </row>
    <row r="37" spans="1:10" ht="15" thickBot="1" x14ac:dyDescent="0.4">
      <c r="A37" s="28" t="s">
        <v>17</v>
      </c>
      <c r="B37" s="28"/>
      <c r="C37" s="28"/>
      <c r="D37" s="29"/>
      <c r="E37" s="21" t="e">
        <f>ROUNDUP(E36/E23,0)</f>
        <v>#DIV/0!</v>
      </c>
      <c r="F37" s="10" t="s">
        <v>120</v>
      </c>
    </row>
    <row r="38" spans="1:10" ht="15" thickBot="1" x14ac:dyDescent="0.4">
      <c r="A38" s="28" t="s">
        <v>18</v>
      </c>
      <c r="B38" s="28"/>
      <c r="C38" s="28"/>
      <c r="D38" s="29"/>
      <c r="E38" s="21" t="e">
        <f>ROUND(E37/E27,0)</f>
        <v>#DIV/0!</v>
      </c>
      <c r="F38" s="10"/>
    </row>
    <row r="39" spans="1:10" ht="15" thickBot="1" x14ac:dyDescent="0.4">
      <c r="A39" s="28" t="s">
        <v>20</v>
      </c>
      <c r="B39" s="28"/>
      <c r="C39" s="28"/>
      <c r="D39" s="29"/>
      <c r="E39" s="21" t="e">
        <f>E37*E23</f>
        <v>#DIV/0!</v>
      </c>
      <c r="F39" s="10" t="s">
        <v>127</v>
      </c>
    </row>
    <row r="40" spans="1:10" ht="15" thickBot="1" x14ac:dyDescent="0.4">
      <c r="A40" s="28" t="s">
        <v>21</v>
      </c>
      <c r="B40" s="28"/>
      <c r="C40" s="28"/>
      <c r="D40" s="29"/>
      <c r="E40" s="21" t="e">
        <f>E39/E24</f>
        <v>#DIV/0!</v>
      </c>
      <c r="F40" s="25" t="s">
        <v>128</v>
      </c>
    </row>
    <row r="41" spans="1:10" ht="15" thickBot="1" x14ac:dyDescent="0.4">
      <c r="A41" s="28" t="s">
        <v>22</v>
      </c>
      <c r="B41" s="28"/>
      <c r="C41" s="28"/>
      <c r="D41" s="29"/>
      <c r="E41" s="21" t="e">
        <f>30*E13*E22*E39/1000</f>
        <v>#DIV/0!</v>
      </c>
      <c r="F41" s="10" t="s">
        <v>129</v>
      </c>
    </row>
    <row r="42" spans="1:10" ht="15" thickBot="1" x14ac:dyDescent="0.4">
      <c r="A42" s="28" t="s">
        <v>23</v>
      </c>
      <c r="B42" s="28"/>
      <c r="C42" s="28"/>
      <c r="D42" s="29"/>
      <c r="E42" s="21" t="e">
        <f>E25*(1+(E10-25)*E26)*E38</f>
        <v>#DIV/0!</v>
      </c>
      <c r="F42" s="10" t="s">
        <v>130</v>
      </c>
    </row>
    <row r="43" spans="1:10" ht="15" thickBot="1" x14ac:dyDescent="0.4">
      <c r="A43" s="28" t="s">
        <v>24</v>
      </c>
      <c r="B43" s="28"/>
      <c r="C43" s="28"/>
      <c r="D43" s="29"/>
      <c r="E43" s="21">
        <f>IF(E11&lt;10,10,IF(E11&lt;=20,E11,IF(E11&lt;=30,E11+5,IF(E11&lt;=40,E11+10,E11+15))))</f>
        <v>28</v>
      </c>
      <c r="F43" s="10" t="s">
        <v>131</v>
      </c>
    </row>
    <row r="45" spans="1:10" x14ac:dyDescent="0.35">
      <c r="A45" s="59" t="s">
        <v>46</v>
      </c>
      <c r="B45" s="59"/>
      <c r="C45" s="59"/>
      <c r="D45" s="59"/>
      <c r="E45" s="59"/>
      <c r="F45" s="59"/>
      <c r="G45" s="59"/>
    </row>
    <row r="46" spans="1:10" x14ac:dyDescent="0.35">
      <c r="A46" s="60" t="s">
        <v>47</v>
      </c>
      <c r="B46" s="60"/>
      <c r="C46" s="60"/>
      <c r="D46" s="60"/>
      <c r="E46" s="61" t="s">
        <v>60</v>
      </c>
      <c r="F46" s="61" t="s">
        <v>62</v>
      </c>
      <c r="G46" s="61" t="s">
        <v>61</v>
      </c>
    </row>
    <row r="47" spans="1:10" x14ac:dyDescent="0.35">
      <c r="A47" s="62" t="s">
        <v>48</v>
      </c>
      <c r="B47" s="62"/>
      <c r="C47" s="62"/>
      <c r="D47" s="63"/>
      <c r="E47" s="64"/>
      <c r="F47" s="64"/>
      <c r="G47" s="65">
        <f>E47*F47</f>
        <v>0</v>
      </c>
    </row>
    <row r="48" spans="1:10" x14ac:dyDescent="0.35">
      <c r="A48" s="62" t="s">
        <v>49</v>
      </c>
      <c r="B48" s="62"/>
      <c r="C48" s="62"/>
      <c r="D48" s="63"/>
      <c r="E48" s="64"/>
      <c r="F48" s="64"/>
      <c r="G48" s="65">
        <f t="shared" ref="G48:G62" si="0">E48*F48</f>
        <v>0</v>
      </c>
    </row>
    <row r="49" spans="1:8" x14ac:dyDescent="0.35">
      <c r="A49" s="62" t="s">
        <v>50</v>
      </c>
      <c r="B49" s="62"/>
      <c r="C49" s="62"/>
      <c r="D49" s="63"/>
      <c r="E49" s="64"/>
      <c r="F49" s="64"/>
      <c r="G49" s="65">
        <f t="shared" si="0"/>
        <v>0</v>
      </c>
    </row>
    <row r="50" spans="1:8" x14ac:dyDescent="0.35">
      <c r="A50" s="62" t="s">
        <v>51</v>
      </c>
      <c r="B50" s="62"/>
      <c r="C50" s="62"/>
      <c r="D50" s="63"/>
      <c r="E50" s="64"/>
      <c r="F50" s="64"/>
      <c r="G50" s="65">
        <f t="shared" si="0"/>
        <v>0</v>
      </c>
    </row>
    <row r="51" spans="1:8" x14ac:dyDescent="0.35">
      <c r="A51" s="62" t="s">
        <v>52</v>
      </c>
      <c r="B51" s="62"/>
      <c r="C51" s="62"/>
      <c r="D51" s="63"/>
      <c r="E51" s="64"/>
      <c r="F51" s="64"/>
      <c r="G51" s="65">
        <f t="shared" si="0"/>
        <v>0</v>
      </c>
    </row>
    <row r="52" spans="1:8" x14ac:dyDescent="0.35">
      <c r="A52" s="62" t="s">
        <v>52</v>
      </c>
      <c r="B52" s="62"/>
      <c r="C52" s="62"/>
      <c r="D52" s="63"/>
      <c r="E52" s="64"/>
      <c r="F52" s="64"/>
      <c r="G52" s="65">
        <f t="shared" si="0"/>
        <v>0</v>
      </c>
    </row>
    <row r="53" spans="1:8" x14ac:dyDescent="0.35">
      <c r="A53" s="62" t="s">
        <v>52</v>
      </c>
      <c r="B53" s="62"/>
      <c r="C53" s="62"/>
      <c r="D53" s="63"/>
      <c r="E53" s="64"/>
      <c r="F53" s="64"/>
      <c r="G53" s="65">
        <f t="shared" si="0"/>
        <v>0</v>
      </c>
    </row>
    <row r="54" spans="1:8" x14ac:dyDescent="0.35">
      <c r="A54" s="62" t="s">
        <v>53</v>
      </c>
      <c r="B54" s="62"/>
      <c r="C54" s="62"/>
      <c r="D54" s="63"/>
      <c r="E54" s="64"/>
      <c r="F54" s="64"/>
      <c r="G54" s="65">
        <f t="shared" si="0"/>
        <v>0</v>
      </c>
    </row>
    <row r="55" spans="1:8" x14ac:dyDescent="0.35">
      <c r="A55" s="62" t="s">
        <v>54</v>
      </c>
      <c r="B55" s="62"/>
      <c r="C55" s="62"/>
      <c r="D55" s="63"/>
      <c r="E55" s="64"/>
      <c r="F55" s="64"/>
      <c r="G55" s="65">
        <f t="shared" si="0"/>
        <v>0</v>
      </c>
    </row>
    <row r="56" spans="1:8" x14ac:dyDescent="0.35">
      <c r="A56" s="62" t="s">
        <v>55</v>
      </c>
      <c r="B56" s="62"/>
      <c r="C56" s="62"/>
      <c r="D56" s="63"/>
      <c r="E56" s="64"/>
      <c r="F56" s="64"/>
      <c r="G56" s="65">
        <f t="shared" si="0"/>
        <v>0</v>
      </c>
    </row>
    <row r="57" spans="1:8" x14ac:dyDescent="0.35">
      <c r="A57" s="62" t="s">
        <v>56</v>
      </c>
      <c r="B57" s="62"/>
      <c r="C57" s="62"/>
      <c r="D57" s="63"/>
      <c r="E57" s="64"/>
      <c r="F57" s="64"/>
      <c r="G57" s="65">
        <f t="shared" si="0"/>
        <v>0</v>
      </c>
    </row>
    <row r="58" spans="1:8" x14ac:dyDescent="0.35">
      <c r="A58" s="62" t="s">
        <v>57</v>
      </c>
      <c r="B58" s="62"/>
      <c r="C58" s="62"/>
      <c r="D58" s="63"/>
      <c r="E58" s="64"/>
      <c r="F58" s="64"/>
      <c r="G58" s="65">
        <f t="shared" si="0"/>
        <v>0</v>
      </c>
    </row>
    <row r="59" spans="1:8" x14ac:dyDescent="0.35">
      <c r="A59" s="62" t="s">
        <v>76</v>
      </c>
      <c r="B59" s="62"/>
      <c r="C59" s="62"/>
      <c r="D59" s="63"/>
      <c r="E59" s="64"/>
      <c r="F59" s="64"/>
      <c r="G59" s="65">
        <f t="shared" si="0"/>
        <v>0</v>
      </c>
    </row>
    <row r="60" spans="1:8" x14ac:dyDescent="0.35">
      <c r="A60" s="62" t="s">
        <v>77</v>
      </c>
      <c r="B60" s="62"/>
      <c r="C60" s="62"/>
      <c r="D60" s="63"/>
      <c r="E60" s="64"/>
      <c r="F60" s="64"/>
      <c r="G60" s="65">
        <f t="shared" si="0"/>
        <v>0</v>
      </c>
    </row>
    <row r="61" spans="1:8" x14ac:dyDescent="0.35">
      <c r="A61" s="62" t="s">
        <v>58</v>
      </c>
      <c r="B61" s="62"/>
      <c r="C61" s="62"/>
      <c r="D61" s="63"/>
      <c r="E61" s="64"/>
      <c r="F61" s="64"/>
      <c r="G61" s="65">
        <f t="shared" si="0"/>
        <v>0</v>
      </c>
    </row>
    <row r="62" spans="1:8" ht="15" thickBot="1" x14ac:dyDescent="0.4">
      <c r="A62" s="62" t="s">
        <v>59</v>
      </c>
      <c r="B62" s="62"/>
      <c r="C62" s="62"/>
      <c r="D62" s="63"/>
      <c r="E62" s="66"/>
      <c r="F62" s="66"/>
      <c r="G62" s="67">
        <f t="shared" si="0"/>
        <v>0</v>
      </c>
    </row>
    <row r="63" spans="1:8" ht="15" thickBot="1" x14ac:dyDescent="0.4">
      <c r="E63" s="68" t="s">
        <v>64</v>
      </c>
      <c r="F63" s="69"/>
      <c r="G63" s="100">
        <f>SUM(G47:G62)</f>
        <v>0</v>
      </c>
      <c r="H63" s="10" t="s">
        <v>132</v>
      </c>
    </row>
    <row r="64" spans="1:8" ht="15" thickBot="1" x14ac:dyDescent="0.4">
      <c r="E64" s="68" t="s">
        <v>65</v>
      </c>
      <c r="F64" s="69"/>
      <c r="G64" s="101">
        <v>18000</v>
      </c>
      <c r="H64" s="10" t="s">
        <v>133</v>
      </c>
    </row>
    <row r="65" spans="1:8" ht="15" thickBot="1" x14ac:dyDescent="0.4">
      <c r="E65" s="68" t="s">
        <v>63</v>
      </c>
      <c r="F65" s="69"/>
      <c r="G65" s="102">
        <v>2</v>
      </c>
    </row>
    <row r="66" spans="1:8" ht="15" thickBot="1" x14ac:dyDescent="0.4"/>
    <row r="67" spans="1:8" ht="15" thickBot="1" x14ac:dyDescent="0.4">
      <c r="E67" s="92" t="s">
        <v>66</v>
      </c>
      <c r="F67" s="93"/>
      <c r="G67" s="70">
        <f>IF(G65=1,G63,G64)</f>
        <v>18000</v>
      </c>
      <c r="H67" s="71"/>
    </row>
    <row r="68" spans="1:8" s="95" customFormat="1" ht="29" customHeight="1" thickBot="1" x14ac:dyDescent="0.4">
      <c r="E68" s="96" t="s">
        <v>104</v>
      </c>
      <c r="F68" s="97"/>
      <c r="G68" s="98">
        <f>0.1*G67</f>
        <v>1800</v>
      </c>
      <c r="H68" s="99"/>
    </row>
    <row r="69" spans="1:8" ht="15" thickBot="1" x14ac:dyDescent="0.4">
      <c r="E69" s="91" t="s">
        <v>67</v>
      </c>
      <c r="F69" s="94"/>
      <c r="G69" s="70">
        <v>2000</v>
      </c>
      <c r="H69" s="71"/>
    </row>
    <row r="70" spans="1:8" ht="15" thickBot="1" x14ac:dyDescent="0.4">
      <c r="E70" s="91" t="s">
        <v>68</v>
      </c>
      <c r="F70" s="94"/>
      <c r="G70" s="72">
        <v>4000</v>
      </c>
      <c r="H70" s="73"/>
    </row>
    <row r="71" spans="1:8" ht="15" thickBot="1" x14ac:dyDescent="0.4">
      <c r="E71" s="91" t="s">
        <v>69</v>
      </c>
      <c r="F71" s="94"/>
      <c r="G71" s="72">
        <v>0</v>
      </c>
      <c r="H71" s="73"/>
    </row>
    <row r="72" spans="1:8" ht="15" thickBot="1" x14ac:dyDescent="0.4">
      <c r="E72" s="91" t="s">
        <v>70</v>
      </c>
      <c r="F72" s="94"/>
      <c r="G72" s="72">
        <v>0</v>
      </c>
      <c r="H72" s="73"/>
    </row>
    <row r="73" spans="1:8" ht="15" thickBot="1" x14ac:dyDescent="0.4">
      <c r="A73" s="1" t="s">
        <v>72</v>
      </c>
      <c r="F73" s="74" t="s">
        <v>74</v>
      </c>
      <c r="G73" s="75">
        <f>SUM(G67:G70)</f>
        <v>25800</v>
      </c>
      <c r="H73" s="76"/>
    </row>
    <row r="74" spans="1:8" ht="15.5" x14ac:dyDescent="0.35">
      <c r="A74" s="77" t="s">
        <v>73</v>
      </c>
      <c r="B74" s="77"/>
      <c r="C74" s="77"/>
      <c r="D74" s="77"/>
      <c r="E74" s="77"/>
    </row>
    <row r="75" spans="1:8" x14ac:dyDescent="0.35">
      <c r="A75" s="78" t="s">
        <v>75</v>
      </c>
      <c r="D75" s="79" t="e">
        <f>G73/E39</f>
        <v>#DIV/0!</v>
      </c>
      <c r="E75" s="80" t="s">
        <v>71</v>
      </c>
      <c r="F75" s="78" t="s">
        <v>134</v>
      </c>
    </row>
  </sheetData>
  <mergeCells count="69">
    <mergeCell ref="G72:H72"/>
    <mergeCell ref="G73:H73"/>
    <mergeCell ref="E67:F67"/>
    <mergeCell ref="E68:F68"/>
    <mergeCell ref="A20:D20"/>
    <mergeCell ref="G67:H67"/>
    <mergeCell ref="G68:H68"/>
    <mergeCell ref="G69:H69"/>
    <mergeCell ref="G70:H70"/>
    <mergeCell ref="G71:H71"/>
    <mergeCell ref="A32:D32"/>
    <mergeCell ref="A33:D33"/>
    <mergeCell ref="A74:E74"/>
    <mergeCell ref="A60:D60"/>
    <mergeCell ref="A61:D61"/>
    <mergeCell ref="A62:D62"/>
    <mergeCell ref="A46:D46"/>
    <mergeCell ref="A45:G45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  <mergeCell ref="A47:D47"/>
    <mergeCell ref="A48:D48"/>
    <mergeCell ref="A49:D49"/>
    <mergeCell ref="A41:D41"/>
    <mergeCell ref="A42:D42"/>
    <mergeCell ref="A43:D43"/>
    <mergeCell ref="A34:D34"/>
    <mergeCell ref="A36:D36"/>
    <mergeCell ref="A37:D37"/>
    <mergeCell ref="A38:D38"/>
    <mergeCell ref="A39:D39"/>
    <mergeCell ref="A40:D40"/>
    <mergeCell ref="A29:F29"/>
    <mergeCell ref="A30:D30"/>
    <mergeCell ref="A14:D14"/>
    <mergeCell ref="A15:D15"/>
    <mergeCell ref="A19:D19"/>
    <mergeCell ref="A21:D21"/>
    <mergeCell ref="A22:D22"/>
    <mergeCell ref="H6:I6"/>
    <mergeCell ref="K10:M10"/>
    <mergeCell ref="K11:M11"/>
    <mergeCell ref="K12:M12"/>
    <mergeCell ref="A9:D9"/>
    <mergeCell ref="A10:D10"/>
    <mergeCell ref="A11:D11"/>
    <mergeCell ref="A12:D12"/>
    <mergeCell ref="A6:F6"/>
    <mergeCell ref="F36:J36"/>
    <mergeCell ref="A1:E1"/>
    <mergeCell ref="A13:D13"/>
    <mergeCell ref="F11:J11"/>
    <mergeCell ref="F12:J12"/>
    <mergeCell ref="F13:J13"/>
    <mergeCell ref="F10:G10"/>
    <mergeCell ref="A31:D31"/>
    <mergeCell ref="A23:D23"/>
    <mergeCell ref="A24:D24"/>
    <mergeCell ref="A25:D25"/>
    <mergeCell ref="A27:D27"/>
    <mergeCell ref="H5:I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8BA6-4066-4DE1-9FB6-70200710B04D}">
  <dimension ref="B1:Q57"/>
  <sheetViews>
    <sheetView tabSelected="1" topLeftCell="A35" zoomScale="85" zoomScaleNormal="85" workbookViewId="0">
      <selection activeCell="I49" sqref="I49"/>
    </sheetView>
  </sheetViews>
  <sheetFormatPr defaultColWidth="11.58203125" defaultRowHeight="15" customHeight="1" x14ac:dyDescent="0.35"/>
  <cols>
    <col min="1" max="13" width="11.58203125" style="1"/>
    <col min="14" max="14" width="11.58203125" style="1" customWidth="1"/>
    <col min="15" max="15" width="13.1640625" style="1" customWidth="1"/>
    <col min="16" max="16384" width="11.58203125" style="1"/>
  </cols>
  <sheetData>
    <row r="1" spans="2:17" ht="20.5" customHeight="1" thickBot="1" x14ac:dyDescent="0.4">
      <c r="B1" s="81" t="s">
        <v>86</v>
      </c>
      <c r="C1" s="81"/>
      <c r="D1" s="81"/>
    </row>
    <row r="2" spans="2:17" thickBot="1" x14ac:dyDescent="0.4">
      <c r="G2" s="16" t="s">
        <v>1</v>
      </c>
      <c r="H2" s="17"/>
      <c r="I2" s="18"/>
      <c r="O2" s="2" t="s">
        <v>147</v>
      </c>
    </row>
    <row r="3" spans="2:17" ht="15.5" thickTop="1" thickBot="1" x14ac:dyDescent="0.4">
      <c r="B3" s="2" t="s">
        <v>79</v>
      </c>
      <c r="E3" s="2" t="s">
        <v>87</v>
      </c>
      <c r="G3" s="16" t="s">
        <v>2</v>
      </c>
      <c r="H3" s="20"/>
      <c r="I3" s="21"/>
      <c r="O3" s="6" t="s">
        <v>143</v>
      </c>
      <c r="P3" s="122">
        <f>IF(Dimensionamento!$E$7="A",Dimensionamento!$E$17,Dimensionamento!$E$15)</f>
        <v>0</v>
      </c>
    </row>
    <row r="4" spans="2:17" ht="15" customHeight="1" thickTop="1" thickBot="1" x14ac:dyDescent="0.4">
      <c r="B4" s="7" t="s">
        <v>80</v>
      </c>
      <c r="C4" s="119"/>
      <c r="D4" s="120"/>
      <c r="E4" s="123"/>
      <c r="F4" s="3" t="s">
        <v>88</v>
      </c>
      <c r="H4" s="3" t="s">
        <v>135</v>
      </c>
      <c r="O4" s="6" t="s">
        <v>144</v>
      </c>
      <c r="P4" s="122">
        <f>IF(Dimensionamento!$E$7="A",Dimensionamento!$E$16,Dimensionamento!$E$14)</f>
        <v>0</v>
      </c>
    </row>
    <row r="5" spans="2:17" ht="15" customHeight="1" thickTop="1" thickBot="1" x14ac:dyDescent="0.4">
      <c r="B5" s="111" t="s">
        <v>100</v>
      </c>
      <c r="C5" s="112"/>
      <c r="D5" s="113"/>
      <c r="E5" s="123"/>
      <c r="F5" s="3" t="s">
        <v>136</v>
      </c>
      <c r="O5" s="6" t="s">
        <v>145</v>
      </c>
      <c r="P5" s="122">
        <f>Dimensionamento!E19</f>
        <v>0</v>
      </c>
    </row>
    <row r="6" spans="2:17" ht="15.5" thickTop="1" thickBot="1" x14ac:dyDescent="0.4">
      <c r="B6" s="8" t="s">
        <v>99</v>
      </c>
      <c r="C6" s="115"/>
      <c r="D6" s="116"/>
      <c r="E6" s="123"/>
      <c r="F6" s="3" t="s">
        <v>88</v>
      </c>
      <c r="H6" s="3" t="s">
        <v>137</v>
      </c>
      <c r="O6" s="121" t="s">
        <v>148</v>
      </c>
      <c r="P6" s="130">
        <f>Dimensionamento!$E$20</f>
        <v>0.9</v>
      </c>
      <c r="Q6" s="3" t="s">
        <v>149</v>
      </c>
    </row>
    <row r="7" spans="2:17" thickBot="1" x14ac:dyDescent="0.4">
      <c r="B7" s="9" t="s">
        <v>81</v>
      </c>
      <c r="C7" s="117"/>
      <c r="D7" s="118"/>
      <c r="E7" s="123"/>
      <c r="F7" s="3" t="s">
        <v>89</v>
      </c>
      <c r="H7" s="3" t="s">
        <v>138</v>
      </c>
    </row>
    <row r="8" spans="2:17" thickBot="1" x14ac:dyDescent="0.4">
      <c r="B8" s="9" t="s">
        <v>82</v>
      </c>
      <c r="C8" s="117"/>
      <c r="D8" s="118"/>
      <c r="E8" s="123"/>
      <c r="F8" s="4" t="s">
        <v>139</v>
      </c>
    </row>
    <row r="9" spans="2:17" thickBot="1" x14ac:dyDescent="0.4">
      <c r="B9" s="7" t="s">
        <v>83</v>
      </c>
      <c r="C9" s="119"/>
      <c r="D9" s="120"/>
      <c r="E9" s="123"/>
      <c r="F9" s="5" t="s">
        <v>140</v>
      </c>
    </row>
    <row r="10" spans="2:17" thickBot="1" x14ac:dyDescent="0.4">
      <c r="B10" s="8" t="s">
        <v>84</v>
      </c>
      <c r="C10" s="115"/>
      <c r="D10" s="116"/>
      <c r="E10" s="124">
        <v>0.02</v>
      </c>
      <c r="F10" s="3" t="s">
        <v>141</v>
      </c>
    </row>
    <row r="11" spans="2:17" thickBot="1" x14ac:dyDescent="0.4">
      <c r="B11" s="8" t="s">
        <v>85</v>
      </c>
      <c r="C11" s="115"/>
      <c r="D11" s="116"/>
      <c r="E11" s="124">
        <v>8.0000000000000002E-3</v>
      </c>
      <c r="F11" s="3" t="s">
        <v>142</v>
      </c>
    </row>
    <row r="12" spans="2:17" ht="14" customHeight="1" thickBot="1" x14ac:dyDescent="0.4">
      <c r="B12" s="6" t="s">
        <v>105</v>
      </c>
      <c r="C12" s="105"/>
      <c r="D12" s="105"/>
      <c r="E12" s="123">
        <v>2</v>
      </c>
      <c r="F12" s="3" t="s">
        <v>146</v>
      </c>
    </row>
    <row r="13" spans="2:17" ht="33.5" customHeight="1" thickBot="1" x14ac:dyDescent="0.4">
      <c r="J13" s="13" t="s">
        <v>102</v>
      </c>
      <c r="L13" s="12" t="s">
        <v>103</v>
      </c>
    </row>
    <row r="14" spans="2:17" ht="85" customHeight="1" thickBot="1" x14ac:dyDescent="0.4">
      <c r="C14" s="82" t="s">
        <v>90</v>
      </c>
      <c r="D14" s="82" t="s">
        <v>91</v>
      </c>
      <c r="E14" s="82" t="s">
        <v>101</v>
      </c>
      <c r="F14" s="82" t="s">
        <v>98</v>
      </c>
      <c r="G14" s="82" t="s">
        <v>92</v>
      </c>
      <c r="H14" s="82" t="s">
        <v>93</v>
      </c>
      <c r="I14" s="82" t="s">
        <v>94</v>
      </c>
      <c r="J14" s="82" t="s">
        <v>95</v>
      </c>
      <c r="K14" s="82" t="s">
        <v>96</v>
      </c>
      <c r="L14" s="82" t="s">
        <v>97</v>
      </c>
    </row>
    <row r="15" spans="2:17" ht="15" customHeight="1" x14ac:dyDescent="0.35">
      <c r="C15" s="83">
        <v>0</v>
      </c>
      <c r="D15" s="84"/>
      <c r="E15" s="84"/>
      <c r="F15" s="84"/>
      <c r="G15" s="84"/>
      <c r="H15" s="84"/>
      <c r="I15" s="83">
        <f>-Dimensionamento!G73</f>
        <v>-25800</v>
      </c>
      <c r="J15" s="83">
        <f>I15</f>
        <v>-25800</v>
      </c>
      <c r="K15" s="83">
        <f>I15</f>
        <v>-25800</v>
      </c>
      <c r="L15" s="83">
        <f>I15</f>
        <v>-25800</v>
      </c>
    </row>
    <row r="16" spans="2:17" ht="15" customHeight="1" x14ac:dyDescent="0.35">
      <c r="C16" s="85">
        <v>1</v>
      </c>
      <c r="D16" s="86" t="e">
        <f>Dimensionamento!E41*12</f>
        <v>#DIV/0!</v>
      </c>
      <c r="E16" s="86">
        <f>P3+P4</f>
        <v>0</v>
      </c>
      <c r="F16" s="86">
        <f>IF($E$12=1, $P$3,IF($E$12=2, $P$3+$P$4-$P$5*$P$6,$P$3+$P$4))</f>
        <v>0</v>
      </c>
      <c r="G16" s="86" t="e">
        <f>(E16*$E$5+(1-$E$5)*F16)*D16</f>
        <v>#DIV/0!</v>
      </c>
      <c r="H16" s="86" t="e">
        <f>IF(OR(C16=$E$7,C16=2*$E$7),G16*($E$8+$E$9),G16*$E$8)</f>
        <v>#DIV/0!</v>
      </c>
      <c r="I16" s="86" t="e">
        <f>G16-H16- IF(Dimensionamento!$E$7="A", Dimensionamento!$E$35*Dimensionamento!$E$18*12, 0)</f>
        <v>#DIV/0!</v>
      </c>
      <c r="J16" s="86" t="e">
        <f>J15+I16</f>
        <v>#DIV/0!</v>
      </c>
      <c r="K16" s="86" t="e">
        <f>I16/(1+$E$6)^C16</f>
        <v>#DIV/0!</v>
      </c>
      <c r="L16" s="86" t="e">
        <f>L15+K16</f>
        <v>#DIV/0!</v>
      </c>
    </row>
    <row r="17" spans="3:12" ht="15" customHeight="1" x14ac:dyDescent="0.35">
      <c r="C17" s="87">
        <v>2</v>
      </c>
      <c r="D17" s="88" t="e">
        <f>Dimensionamento!$E$41*12*(1-$E$10)</f>
        <v>#DIV/0!</v>
      </c>
      <c r="E17" s="88">
        <f>E16*(1+$E$4)</f>
        <v>0</v>
      </c>
      <c r="F17" s="88">
        <f>F16*(1+$E$4)</f>
        <v>0</v>
      </c>
      <c r="G17" s="88" t="e">
        <f>(E17*$E$5+(1-$E$5)*F17)*D17</f>
        <v>#DIV/0!</v>
      </c>
      <c r="H17" s="88" t="e">
        <f>IF(OR(C17=$E$7,C17=2*$E$7),G17*($E$8+$E$9),G17*$E$8)</f>
        <v>#DIV/0!</v>
      </c>
      <c r="I17" s="88" t="e">
        <f>G17-H17- IF(Dimensionamento!$E$7="A", Dimensionamento!$E$35*Dimensionamento!$E$18*12, 0)</f>
        <v>#DIV/0!</v>
      </c>
      <c r="J17" s="88" t="e">
        <f t="shared" ref="J17:J45" si="0">J16+I17</f>
        <v>#DIV/0!</v>
      </c>
      <c r="K17" s="88" t="e">
        <f>I17/(1+$E$6)^C17</f>
        <v>#DIV/0!</v>
      </c>
      <c r="L17" s="88" t="e">
        <f t="shared" ref="L17:L45" si="1">L16+K17</f>
        <v>#DIV/0!</v>
      </c>
    </row>
    <row r="18" spans="3:12" ht="15" customHeight="1" x14ac:dyDescent="0.35">
      <c r="C18" s="85">
        <v>3</v>
      </c>
      <c r="D18" s="86" t="e">
        <f>Dimensionamento!$E$41*12*(1-$E$10-(C18-2)*$E$11)</f>
        <v>#DIV/0!</v>
      </c>
      <c r="E18" s="86">
        <f>E17*(1+$E$4)</f>
        <v>0</v>
      </c>
      <c r="F18" s="86">
        <f>F17*(1+$E$4)</f>
        <v>0</v>
      </c>
      <c r="G18" s="86" t="e">
        <f>(E18*$E$5+(1-$E$5)*F18)*D18</f>
        <v>#DIV/0!</v>
      </c>
      <c r="H18" s="86" t="e">
        <f>IF(OR(C18=$E$7,C18=2*$E$7),G18*($E$8+$E$9),G18*$E$8)</f>
        <v>#DIV/0!</v>
      </c>
      <c r="I18" s="86" t="e">
        <f>G18-H18- IF(Dimensionamento!$E$7="A", Dimensionamento!$E$35*Dimensionamento!$E$18*12, 0)</f>
        <v>#DIV/0!</v>
      </c>
      <c r="J18" s="86" t="e">
        <f t="shared" si="0"/>
        <v>#DIV/0!</v>
      </c>
      <c r="K18" s="86" t="e">
        <f>I18/(1+$E$6)^C18</f>
        <v>#DIV/0!</v>
      </c>
      <c r="L18" s="86" t="e">
        <f t="shared" si="1"/>
        <v>#DIV/0!</v>
      </c>
    </row>
    <row r="19" spans="3:12" ht="15" customHeight="1" x14ac:dyDescent="0.35">
      <c r="C19" s="87">
        <v>4</v>
      </c>
      <c r="D19" s="88" t="e">
        <f>Dimensionamento!$E$41*12*(1-$E$10-(C19-2)*$E$11)</f>
        <v>#DIV/0!</v>
      </c>
      <c r="E19" s="88">
        <f>E18*(1+$E$4)</f>
        <v>0</v>
      </c>
      <c r="F19" s="88">
        <f>F18*(1+$E$4)</f>
        <v>0</v>
      </c>
      <c r="G19" s="88" t="e">
        <f>(E19*$E$5+(1-$E$5)*F19)*D19</f>
        <v>#DIV/0!</v>
      </c>
      <c r="H19" s="88" t="e">
        <f>IF(OR(C19=$E$7,C19=2*$E$7),G19*($E$8+$E$9),G19*$E$8)</f>
        <v>#DIV/0!</v>
      </c>
      <c r="I19" s="88" t="e">
        <f>G19-H19- IF(Dimensionamento!$E$7="A", Dimensionamento!$E$35*Dimensionamento!$E$18*12, 0)</f>
        <v>#DIV/0!</v>
      </c>
      <c r="J19" s="88" t="e">
        <f t="shared" si="0"/>
        <v>#DIV/0!</v>
      </c>
      <c r="K19" s="88" t="e">
        <f>I19/(1+$E$6)^C19</f>
        <v>#DIV/0!</v>
      </c>
      <c r="L19" s="88" t="e">
        <f t="shared" si="1"/>
        <v>#DIV/0!</v>
      </c>
    </row>
    <row r="20" spans="3:12" ht="15" customHeight="1" x14ac:dyDescent="0.35">
      <c r="C20" s="85">
        <v>5</v>
      </c>
      <c r="D20" s="86" t="e">
        <f>Dimensionamento!$E$41*12*(1-$E$10-(C20-2)*$E$11)</f>
        <v>#DIV/0!</v>
      </c>
      <c r="E20" s="86">
        <f>E19*(1+$E$4)</f>
        <v>0</v>
      </c>
      <c r="F20" s="86">
        <f>F19*(1+$E$4)</f>
        <v>0</v>
      </c>
      <c r="G20" s="86" t="e">
        <f>(E20*$E$5+(1-$E$5)*F20)*D20</f>
        <v>#DIV/0!</v>
      </c>
      <c r="H20" s="86" t="e">
        <f>IF(OR(C20=$E$7,C20=2*$E$7),G20*($E$8+$E$9),G20*$E$8)</f>
        <v>#DIV/0!</v>
      </c>
      <c r="I20" s="86" t="e">
        <f>G20-H20- IF(Dimensionamento!$E$7="A", Dimensionamento!$E$35*Dimensionamento!$E$18*12, 0)</f>
        <v>#DIV/0!</v>
      </c>
      <c r="J20" s="86" t="e">
        <f t="shared" si="0"/>
        <v>#DIV/0!</v>
      </c>
      <c r="K20" s="86" t="e">
        <f>I20/(1+$E$6)^C20</f>
        <v>#DIV/0!</v>
      </c>
      <c r="L20" s="86" t="e">
        <f t="shared" si="1"/>
        <v>#DIV/0!</v>
      </c>
    </row>
    <row r="21" spans="3:12" ht="15" customHeight="1" x14ac:dyDescent="0.35">
      <c r="C21" s="87">
        <v>6</v>
      </c>
      <c r="D21" s="88" t="e">
        <f>Dimensionamento!$E$41*12*(1-$E$10-(C21-2)*$E$11)</f>
        <v>#DIV/0!</v>
      </c>
      <c r="E21" s="88">
        <f>E20*(1+$E$4)</f>
        <v>0</v>
      </c>
      <c r="F21" s="88">
        <f>F20*(1+$E$4)</f>
        <v>0</v>
      </c>
      <c r="G21" s="88" t="e">
        <f>(E21*$E$5+(1-$E$5)*F21)*D21</f>
        <v>#DIV/0!</v>
      </c>
      <c r="H21" s="88" t="e">
        <f>IF(OR(C21=$E$7,C21=2*$E$7),G21*($E$8+$E$9),G21*$E$8)</f>
        <v>#DIV/0!</v>
      </c>
      <c r="I21" s="88" t="e">
        <f>G21-H21- IF(Dimensionamento!$E$7="A", Dimensionamento!$E$35*Dimensionamento!$E$18*12, 0)</f>
        <v>#DIV/0!</v>
      </c>
      <c r="J21" s="88" t="e">
        <f t="shared" si="0"/>
        <v>#DIV/0!</v>
      </c>
      <c r="K21" s="88" t="e">
        <f>I21/(1+$E$6)^C21</f>
        <v>#DIV/0!</v>
      </c>
      <c r="L21" s="88" t="e">
        <f t="shared" si="1"/>
        <v>#DIV/0!</v>
      </c>
    </row>
    <row r="22" spans="3:12" ht="15" customHeight="1" x14ac:dyDescent="0.35">
      <c r="C22" s="85">
        <v>7</v>
      </c>
      <c r="D22" s="86" t="e">
        <f>Dimensionamento!$E$41*12*(1-$E$10-(C22-2)*$E$11)</f>
        <v>#DIV/0!</v>
      </c>
      <c r="E22" s="86">
        <f>E21*(1+$E$4)</f>
        <v>0</v>
      </c>
      <c r="F22" s="86">
        <f>F21*(1+$E$4)</f>
        <v>0</v>
      </c>
      <c r="G22" s="86" t="e">
        <f>(E22*$E$5+(1-$E$5)*F22)*D22</f>
        <v>#DIV/0!</v>
      </c>
      <c r="H22" s="86" t="e">
        <f>IF(OR(C22=$E$7,C22=2*$E$7),G22*($E$8+$E$9),G22*$E$8)</f>
        <v>#DIV/0!</v>
      </c>
      <c r="I22" s="86" t="e">
        <f>G22-H22- IF(Dimensionamento!$E$7="A", Dimensionamento!$E$35*Dimensionamento!$E$18*12, 0)</f>
        <v>#DIV/0!</v>
      </c>
      <c r="J22" s="86" t="e">
        <f t="shared" si="0"/>
        <v>#DIV/0!</v>
      </c>
      <c r="K22" s="86" t="e">
        <f>I22/(1+$E$6)^C22</f>
        <v>#DIV/0!</v>
      </c>
      <c r="L22" s="86" t="e">
        <f t="shared" si="1"/>
        <v>#DIV/0!</v>
      </c>
    </row>
    <row r="23" spans="3:12" ht="15" customHeight="1" x14ac:dyDescent="0.35">
      <c r="C23" s="87">
        <v>8</v>
      </c>
      <c r="D23" s="88" t="e">
        <f>Dimensionamento!$E$41*12*(1-$E$10-(C23-2)*$E$11)</f>
        <v>#DIV/0!</v>
      </c>
      <c r="E23" s="88">
        <f>E22*(1+$E$4)</f>
        <v>0</v>
      </c>
      <c r="F23" s="88">
        <f>F22*(1+$E$4)</f>
        <v>0</v>
      </c>
      <c r="G23" s="88" t="e">
        <f>(E23*$E$5+(1-$E$5)*F23)*D23</f>
        <v>#DIV/0!</v>
      </c>
      <c r="H23" s="88" t="e">
        <f>IF(OR(C23=$E$7,C23=2*$E$7),G23*($E$8+$E$9),G23*$E$8)</f>
        <v>#DIV/0!</v>
      </c>
      <c r="I23" s="88" t="e">
        <f>G23-H23- IF(Dimensionamento!$E$7="A", Dimensionamento!$E$35*Dimensionamento!$E$18*12, 0)</f>
        <v>#DIV/0!</v>
      </c>
      <c r="J23" s="88" t="e">
        <f t="shared" si="0"/>
        <v>#DIV/0!</v>
      </c>
      <c r="K23" s="88" t="e">
        <f>I23/(1+$E$6)^C23</f>
        <v>#DIV/0!</v>
      </c>
      <c r="L23" s="88" t="e">
        <f t="shared" si="1"/>
        <v>#DIV/0!</v>
      </c>
    </row>
    <row r="24" spans="3:12" ht="15" customHeight="1" x14ac:dyDescent="0.35">
      <c r="C24" s="85">
        <v>9</v>
      </c>
      <c r="D24" s="86" t="e">
        <f>Dimensionamento!$E$41*12*(1-$E$10-(C24-2)*$E$11)</f>
        <v>#DIV/0!</v>
      </c>
      <c r="E24" s="86">
        <f>E23*(1+$E$4)</f>
        <v>0</v>
      </c>
      <c r="F24" s="86">
        <f>F23*(1+$E$4)</f>
        <v>0</v>
      </c>
      <c r="G24" s="86" t="e">
        <f>(E24*$E$5+(1-$E$5)*F24)*D24</f>
        <v>#DIV/0!</v>
      </c>
      <c r="H24" s="86" t="e">
        <f>IF(OR(C24=$E$7,C24=2*$E$7),G24*($E$8+$E$9),G24*$E$8)</f>
        <v>#DIV/0!</v>
      </c>
      <c r="I24" s="86" t="e">
        <f>G24-H24- IF(Dimensionamento!$E$7="A", Dimensionamento!$E$35*Dimensionamento!$E$18*12, 0)</f>
        <v>#DIV/0!</v>
      </c>
      <c r="J24" s="86" t="e">
        <f t="shared" si="0"/>
        <v>#DIV/0!</v>
      </c>
      <c r="K24" s="86" t="e">
        <f>I24/(1+$E$6)^C24</f>
        <v>#DIV/0!</v>
      </c>
      <c r="L24" s="86" t="e">
        <f t="shared" si="1"/>
        <v>#DIV/0!</v>
      </c>
    </row>
    <row r="25" spans="3:12" ht="15" customHeight="1" x14ac:dyDescent="0.35">
      <c r="C25" s="87">
        <v>10</v>
      </c>
      <c r="D25" s="88" t="e">
        <f>Dimensionamento!$E$41*12*(1-$E$10-(C25-2)*$E$11)</f>
        <v>#DIV/0!</v>
      </c>
      <c r="E25" s="88">
        <f>E24*(1+$E$4)</f>
        <v>0</v>
      </c>
      <c r="F25" s="88">
        <f>F24*(1+$E$4)</f>
        <v>0</v>
      </c>
      <c r="G25" s="88" t="e">
        <f>(E25*$E$5+(1-$E$5)*F25)*D25</f>
        <v>#DIV/0!</v>
      </c>
      <c r="H25" s="88" t="e">
        <f>IF(OR(C25=$E$7,C25=2*$E$7),G25*($E$8+$E$9),G25*$E$8)</f>
        <v>#DIV/0!</v>
      </c>
      <c r="I25" s="88" t="e">
        <f>G25-H25- IF(Dimensionamento!$E$7="A", Dimensionamento!$E$35*Dimensionamento!$E$18*12, 0)</f>
        <v>#DIV/0!</v>
      </c>
      <c r="J25" s="88" t="e">
        <f t="shared" si="0"/>
        <v>#DIV/0!</v>
      </c>
      <c r="K25" s="88" t="e">
        <f>I25/(1+$E$6)^C25</f>
        <v>#DIV/0!</v>
      </c>
      <c r="L25" s="88" t="e">
        <f t="shared" si="1"/>
        <v>#DIV/0!</v>
      </c>
    </row>
    <row r="26" spans="3:12" ht="15" customHeight="1" x14ac:dyDescent="0.35">
      <c r="C26" s="85">
        <v>11</v>
      </c>
      <c r="D26" s="86" t="e">
        <f>Dimensionamento!$E$41*12*(1-$E$10-(C26-2)*$E$11)</f>
        <v>#DIV/0!</v>
      </c>
      <c r="E26" s="86">
        <f>E25*(1+$E$4)</f>
        <v>0</v>
      </c>
      <c r="F26" s="86">
        <f>F25*(1+$E$4)</f>
        <v>0</v>
      </c>
      <c r="G26" s="86" t="e">
        <f>(E26*$E$5+(1-$E$5)*F26)*D26</f>
        <v>#DIV/0!</v>
      </c>
      <c r="H26" s="86" t="e">
        <f>IF(OR(C26=$E$7,C26=2*$E$7),G26*($E$8+$E$9),G26*$E$8)</f>
        <v>#DIV/0!</v>
      </c>
      <c r="I26" s="86" t="e">
        <f>G26-H26- IF(Dimensionamento!$E$7="A", Dimensionamento!$E$35*Dimensionamento!$E$18*12, 0)</f>
        <v>#DIV/0!</v>
      </c>
      <c r="J26" s="86" t="e">
        <f t="shared" si="0"/>
        <v>#DIV/0!</v>
      </c>
      <c r="K26" s="86" t="e">
        <f>I26/(1+$E$6)^C26</f>
        <v>#DIV/0!</v>
      </c>
      <c r="L26" s="86" t="e">
        <f t="shared" si="1"/>
        <v>#DIV/0!</v>
      </c>
    </row>
    <row r="27" spans="3:12" ht="15" customHeight="1" x14ac:dyDescent="0.35">
      <c r="C27" s="87">
        <v>12</v>
      </c>
      <c r="D27" s="88" t="e">
        <f>Dimensionamento!$E$41*12*(1-$E$10-(C27-2)*$E$11)</f>
        <v>#DIV/0!</v>
      </c>
      <c r="E27" s="88">
        <f>E26*(1+$E$4)</f>
        <v>0</v>
      </c>
      <c r="F27" s="88">
        <f>F26*(1+$E$4)</f>
        <v>0</v>
      </c>
      <c r="G27" s="88" t="e">
        <f>(E27*$E$5+(1-$E$5)*F27)*D27</f>
        <v>#DIV/0!</v>
      </c>
      <c r="H27" s="88" t="e">
        <f>IF(OR(C27=$E$7,C27=2*$E$7),G27*($E$8+$E$9),G27*$E$8)</f>
        <v>#DIV/0!</v>
      </c>
      <c r="I27" s="88" t="e">
        <f>G27-H27- IF(Dimensionamento!$E$7="A", Dimensionamento!$E$35*Dimensionamento!$E$18*12, 0)</f>
        <v>#DIV/0!</v>
      </c>
      <c r="J27" s="88" t="e">
        <f t="shared" si="0"/>
        <v>#DIV/0!</v>
      </c>
      <c r="K27" s="88" t="e">
        <f>I27/(1+$E$6)^C27</f>
        <v>#DIV/0!</v>
      </c>
      <c r="L27" s="88" t="e">
        <f t="shared" si="1"/>
        <v>#DIV/0!</v>
      </c>
    </row>
    <row r="28" spans="3:12" ht="15" customHeight="1" x14ac:dyDescent="0.35">
      <c r="C28" s="85">
        <v>13</v>
      </c>
      <c r="D28" s="86" t="e">
        <f>Dimensionamento!$E$41*12*(1-$E$10-(C28-2)*$E$11)</f>
        <v>#DIV/0!</v>
      </c>
      <c r="E28" s="86">
        <f>E27*(1+$E$4)</f>
        <v>0</v>
      </c>
      <c r="F28" s="86">
        <f>F27*(1+$E$4)</f>
        <v>0</v>
      </c>
      <c r="G28" s="86" t="e">
        <f>(E28*$E$5+(1-$E$5)*F28)*D28</f>
        <v>#DIV/0!</v>
      </c>
      <c r="H28" s="86" t="e">
        <f>IF(OR(C28=$E$7,C28=2*$E$7),G28*($E$8+$E$9),G28*$E$8)</f>
        <v>#DIV/0!</v>
      </c>
      <c r="I28" s="86" t="e">
        <f>G28-H28- IF(Dimensionamento!$E$7="A", Dimensionamento!$E$35*Dimensionamento!$E$18*12, 0)</f>
        <v>#DIV/0!</v>
      </c>
      <c r="J28" s="86" t="e">
        <f t="shared" si="0"/>
        <v>#DIV/0!</v>
      </c>
      <c r="K28" s="86" t="e">
        <f>I28/(1+$E$6)^C28</f>
        <v>#DIV/0!</v>
      </c>
      <c r="L28" s="86" t="e">
        <f t="shared" si="1"/>
        <v>#DIV/0!</v>
      </c>
    </row>
    <row r="29" spans="3:12" ht="15" customHeight="1" x14ac:dyDescent="0.35">
      <c r="C29" s="87">
        <v>14</v>
      </c>
      <c r="D29" s="88" t="e">
        <f>Dimensionamento!$E$41*12*(1-$E$10-(C29-2)*$E$11)</f>
        <v>#DIV/0!</v>
      </c>
      <c r="E29" s="88">
        <f>E28*(1+$E$4)</f>
        <v>0</v>
      </c>
      <c r="F29" s="88">
        <f>F28*(1+$E$4)</f>
        <v>0</v>
      </c>
      <c r="G29" s="88" t="e">
        <f>(E29*$E$5+(1-$E$5)*F29)*D29</f>
        <v>#DIV/0!</v>
      </c>
      <c r="H29" s="88" t="e">
        <f>IF(OR(C29=$E$7,C29=2*$E$7),G29*($E$8+$E$9),G29*$E$8)</f>
        <v>#DIV/0!</v>
      </c>
      <c r="I29" s="88" t="e">
        <f>G29-H29- IF(Dimensionamento!$E$7="A", Dimensionamento!$E$35*Dimensionamento!$E$18*12, 0)</f>
        <v>#DIV/0!</v>
      </c>
      <c r="J29" s="88" t="e">
        <f t="shared" si="0"/>
        <v>#DIV/0!</v>
      </c>
      <c r="K29" s="88" t="e">
        <f>I29/(1+$E$6)^C29</f>
        <v>#DIV/0!</v>
      </c>
      <c r="L29" s="88" t="e">
        <f t="shared" si="1"/>
        <v>#DIV/0!</v>
      </c>
    </row>
    <row r="30" spans="3:12" ht="15" customHeight="1" x14ac:dyDescent="0.35">
      <c r="C30" s="85">
        <v>15</v>
      </c>
      <c r="D30" s="86" t="e">
        <f>Dimensionamento!$E$41*12*(1-$E$10-(C30-2)*$E$11)</f>
        <v>#DIV/0!</v>
      </c>
      <c r="E30" s="86">
        <f>E29*(1+$E$4)</f>
        <v>0</v>
      </c>
      <c r="F30" s="86">
        <f>F29*(1+$E$4)</f>
        <v>0</v>
      </c>
      <c r="G30" s="86" t="e">
        <f>(E30*$E$5+(1-$E$5)*F30)*D30</f>
        <v>#DIV/0!</v>
      </c>
      <c r="H30" s="86" t="e">
        <f>IF(OR(C30=$E$7,C30=2*$E$7),G30*($E$8+$E$9),G30*$E$8)</f>
        <v>#DIV/0!</v>
      </c>
      <c r="I30" s="86" t="e">
        <f>G30-H30- IF(Dimensionamento!$E$7="A", Dimensionamento!$E$35*Dimensionamento!$E$18*12, 0)</f>
        <v>#DIV/0!</v>
      </c>
      <c r="J30" s="86" t="e">
        <f t="shared" si="0"/>
        <v>#DIV/0!</v>
      </c>
      <c r="K30" s="86" t="e">
        <f>I30/(1+$E$6)^C30</f>
        <v>#DIV/0!</v>
      </c>
      <c r="L30" s="86" t="e">
        <f t="shared" si="1"/>
        <v>#DIV/0!</v>
      </c>
    </row>
    <row r="31" spans="3:12" ht="15" customHeight="1" x14ac:dyDescent="0.35">
      <c r="C31" s="87">
        <v>16</v>
      </c>
      <c r="D31" s="88" t="e">
        <f>Dimensionamento!$E$41*12*(1-$E$10-(C31-2)*$E$11)</f>
        <v>#DIV/0!</v>
      </c>
      <c r="E31" s="88">
        <f>E30*(1+$E$4)</f>
        <v>0</v>
      </c>
      <c r="F31" s="88">
        <f>F30*(1+$E$4)</f>
        <v>0</v>
      </c>
      <c r="G31" s="88" t="e">
        <f>(E31*$E$5+(1-$E$5)*F31)*D31</f>
        <v>#DIV/0!</v>
      </c>
      <c r="H31" s="88" t="e">
        <f>IF(OR(C31=$E$7,C31=2*$E$7),G31*($E$8+$E$9),G31*$E$8)</f>
        <v>#DIV/0!</v>
      </c>
      <c r="I31" s="88" t="e">
        <f>G31-H31- IF(Dimensionamento!$E$7="A", Dimensionamento!$E$35*Dimensionamento!$E$18*12, 0)</f>
        <v>#DIV/0!</v>
      </c>
      <c r="J31" s="88" t="e">
        <f t="shared" si="0"/>
        <v>#DIV/0!</v>
      </c>
      <c r="K31" s="88" t="e">
        <f>I31/(1+$E$6)^C31</f>
        <v>#DIV/0!</v>
      </c>
      <c r="L31" s="88" t="e">
        <f t="shared" si="1"/>
        <v>#DIV/0!</v>
      </c>
    </row>
    <row r="32" spans="3:12" ht="15" customHeight="1" x14ac:dyDescent="0.35">
      <c r="C32" s="85">
        <v>17</v>
      </c>
      <c r="D32" s="86" t="e">
        <f>Dimensionamento!$E$41*12*(1-$E$10-(C32-2)*$E$11)</f>
        <v>#DIV/0!</v>
      </c>
      <c r="E32" s="86">
        <f>E31*(1+$E$4)</f>
        <v>0</v>
      </c>
      <c r="F32" s="86">
        <f>F31*(1+$E$4)</f>
        <v>0</v>
      </c>
      <c r="G32" s="86" t="e">
        <f>(E32*$E$5+(1-$E$5)*F32)*D32</f>
        <v>#DIV/0!</v>
      </c>
      <c r="H32" s="86" t="e">
        <f>IF(OR(C32=$E$7,C32=2*$E$7),G32*($E$8+$E$9),G32*$E$8)</f>
        <v>#DIV/0!</v>
      </c>
      <c r="I32" s="86" t="e">
        <f>G32-H32- IF(Dimensionamento!$E$7="A", Dimensionamento!$E$35*Dimensionamento!$E$18*12, 0)</f>
        <v>#DIV/0!</v>
      </c>
      <c r="J32" s="86" t="e">
        <f t="shared" si="0"/>
        <v>#DIV/0!</v>
      </c>
      <c r="K32" s="86" t="e">
        <f>I32/(1+$E$6)^C32</f>
        <v>#DIV/0!</v>
      </c>
      <c r="L32" s="86" t="e">
        <f t="shared" si="1"/>
        <v>#DIV/0!</v>
      </c>
    </row>
    <row r="33" spans="3:12" ht="15" customHeight="1" x14ac:dyDescent="0.35">
      <c r="C33" s="87">
        <v>18</v>
      </c>
      <c r="D33" s="88" t="e">
        <f>Dimensionamento!$E$41*12*(1-$E$10-(C33-2)*$E$11)</f>
        <v>#DIV/0!</v>
      </c>
      <c r="E33" s="88">
        <f>E32*(1+$E$4)</f>
        <v>0</v>
      </c>
      <c r="F33" s="88">
        <f>F32*(1+$E$4)</f>
        <v>0</v>
      </c>
      <c r="G33" s="88" t="e">
        <f>(E33*$E$5+(1-$E$5)*F33)*D33</f>
        <v>#DIV/0!</v>
      </c>
      <c r="H33" s="88" t="e">
        <f>IF(OR(C33=$E$7,C33=2*$E$7),G33*($E$8+$E$9),G33*$E$8)</f>
        <v>#DIV/0!</v>
      </c>
      <c r="I33" s="88" t="e">
        <f>G33-H33- IF(Dimensionamento!$E$7="A", Dimensionamento!$E$35*Dimensionamento!$E$18*12, 0)</f>
        <v>#DIV/0!</v>
      </c>
      <c r="J33" s="88" t="e">
        <f t="shared" si="0"/>
        <v>#DIV/0!</v>
      </c>
      <c r="K33" s="88" t="e">
        <f>I33/(1+$E$6)^C33</f>
        <v>#DIV/0!</v>
      </c>
      <c r="L33" s="88" t="e">
        <f t="shared" si="1"/>
        <v>#DIV/0!</v>
      </c>
    </row>
    <row r="34" spans="3:12" ht="15" customHeight="1" x14ac:dyDescent="0.35">
      <c r="C34" s="85">
        <v>19</v>
      </c>
      <c r="D34" s="86" t="e">
        <f>Dimensionamento!$E$41*12*(1-$E$10-(C34-2)*$E$11)</f>
        <v>#DIV/0!</v>
      </c>
      <c r="E34" s="86">
        <f>E33*(1+$E$4)</f>
        <v>0</v>
      </c>
      <c r="F34" s="86">
        <f>F33*(1+$E$4)</f>
        <v>0</v>
      </c>
      <c r="G34" s="86" t="e">
        <f>(E34*$E$5+(1-$E$5)*F34)*D34</f>
        <v>#DIV/0!</v>
      </c>
      <c r="H34" s="86" t="e">
        <f>IF(OR(C34=$E$7,C34=2*$E$7),G34*($E$8+$E$9),G34*$E$8)</f>
        <v>#DIV/0!</v>
      </c>
      <c r="I34" s="86" t="e">
        <f>G34-H34- IF(Dimensionamento!$E$7="A", Dimensionamento!$E$35*Dimensionamento!$E$18*12, 0)</f>
        <v>#DIV/0!</v>
      </c>
      <c r="J34" s="86" t="e">
        <f t="shared" si="0"/>
        <v>#DIV/0!</v>
      </c>
      <c r="K34" s="86" t="e">
        <f>I34/(1+$E$6)^C34</f>
        <v>#DIV/0!</v>
      </c>
      <c r="L34" s="86" t="e">
        <f t="shared" si="1"/>
        <v>#DIV/0!</v>
      </c>
    </row>
    <row r="35" spans="3:12" ht="15" customHeight="1" x14ac:dyDescent="0.35">
      <c r="C35" s="87">
        <v>20</v>
      </c>
      <c r="D35" s="88" t="e">
        <f>Dimensionamento!$E$41*12*(1-$E$10-(C35-2)*$E$11)</f>
        <v>#DIV/0!</v>
      </c>
      <c r="E35" s="88">
        <f>E34*(1+$E$4)</f>
        <v>0</v>
      </c>
      <c r="F35" s="88">
        <f>F34*(1+$E$4)</f>
        <v>0</v>
      </c>
      <c r="G35" s="88" t="e">
        <f>(E35*$E$5+(1-$E$5)*F35)*D35</f>
        <v>#DIV/0!</v>
      </c>
      <c r="H35" s="88" t="e">
        <f>IF(OR(C35=$E$7,C35=2*$E$7),G35*($E$8+$E$9),G35*$E$8)</f>
        <v>#DIV/0!</v>
      </c>
      <c r="I35" s="88" t="e">
        <f>G35-H35- IF(Dimensionamento!$E$7="A", Dimensionamento!$E$35*Dimensionamento!$E$18*12, 0)</f>
        <v>#DIV/0!</v>
      </c>
      <c r="J35" s="88" t="e">
        <f t="shared" si="0"/>
        <v>#DIV/0!</v>
      </c>
      <c r="K35" s="88" t="e">
        <f>I35/(1+$E$6)^C35</f>
        <v>#DIV/0!</v>
      </c>
      <c r="L35" s="88" t="e">
        <f t="shared" si="1"/>
        <v>#DIV/0!</v>
      </c>
    </row>
    <row r="36" spans="3:12" ht="15" customHeight="1" x14ac:dyDescent="0.35">
      <c r="C36" s="85">
        <v>21</v>
      </c>
      <c r="D36" s="86" t="e">
        <f>Dimensionamento!$E$41*12*(1-$E$10-(C36-2)*$E$11)</f>
        <v>#DIV/0!</v>
      </c>
      <c r="E36" s="86">
        <f>E35*(1+$E$4)</f>
        <v>0</v>
      </c>
      <c r="F36" s="86">
        <f>F35*(1+$E$4)</f>
        <v>0</v>
      </c>
      <c r="G36" s="86" t="e">
        <f>(E36*$E$5+(1-$E$5)*F36)*D36</f>
        <v>#DIV/0!</v>
      </c>
      <c r="H36" s="86" t="e">
        <f>IF(OR(C36=$E$7,C36=2*$E$7),G36*($E$8+$E$9),G36*$E$8)</f>
        <v>#DIV/0!</v>
      </c>
      <c r="I36" s="86" t="e">
        <f>G36-H36- IF(Dimensionamento!$E$7="A", Dimensionamento!$E$35*Dimensionamento!$E$18*12, 0)</f>
        <v>#DIV/0!</v>
      </c>
      <c r="J36" s="86" t="e">
        <f t="shared" si="0"/>
        <v>#DIV/0!</v>
      </c>
      <c r="K36" s="86" t="e">
        <f>I36/(1+$E$6)^C36</f>
        <v>#DIV/0!</v>
      </c>
      <c r="L36" s="86" t="e">
        <f t="shared" si="1"/>
        <v>#DIV/0!</v>
      </c>
    </row>
    <row r="37" spans="3:12" ht="15" customHeight="1" x14ac:dyDescent="0.35">
      <c r="C37" s="87">
        <v>22</v>
      </c>
      <c r="D37" s="88" t="e">
        <f>Dimensionamento!$E$41*12*(1-$E$10-(C37-2)*$E$11)</f>
        <v>#DIV/0!</v>
      </c>
      <c r="E37" s="88">
        <f>E36*(1+$E$4)</f>
        <v>0</v>
      </c>
      <c r="F37" s="88">
        <f>F36*(1+$E$4)</f>
        <v>0</v>
      </c>
      <c r="G37" s="88" t="e">
        <f>(E37*$E$5+(1-$E$5)*F37)*D37</f>
        <v>#DIV/0!</v>
      </c>
      <c r="H37" s="88" t="e">
        <f>IF(OR(C37=$E$7,C37=2*$E$7),G37*($E$8+$E$9),G37*$E$8)</f>
        <v>#DIV/0!</v>
      </c>
      <c r="I37" s="88" t="e">
        <f>G37-H37- IF(Dimensionamento!$E$7="A", Dimensionamento!$E$35*Dimensionamento!$E$18*12, 0)</f>
        <v>#DIV/0!</v>
      </c>
      <c r="J37" s="88" t="e">
        <f t="shared" si="0"/>
        <v>#DIV/0!</v>
      </c>
      <c r="K37" s="88" t="e">
        <f>I37/(1+$E$6)^C37</f>
        <v>#DIV/0!</v>
      </c>
      <c r="L37" s="88" t="e">
        <f t="shared" si="1"/>
        <v>#DIV/0!</v>
      </c>
    </row>
    <row r="38" spans="3:12" ht="15" customHeight="1" x14ac:dyDescent="0.35">
      <c r="C38" s="85">
        <v>23</v>
      </c>
      <c r="D38" s="86" t="e">
        <f>Dimensionamento!$E$41*12*(1-$E$10-(C38-2)*$E$11)</f>
        <v>#DIV/0!</v>
      </c>
      <c r="E38" s="86">
        <f>E37*(1+$E$4)</f>
        <v>0</v>
      </c>
      <c r="F38" s="86">
        <f>F37*(1+$E$4)</f>
        <v>0</v>
      </c>
      <c r="G38" s="86" t="e">
        <f>(E38*$E$5+(1-$E$5)*F38)*D38</f>
        <v>#DIV/0!</v>
      </c>
      <c r="H38" s="86" t="e">
        <f>IF(OR(C38=$E$7,C38=2*$E$7),G38*($E$8+$E$9),G38*$E$8)</f>
        <v>#DIV/0!</v>
      </c>
      <c r="I38" s="86" t="e">
        <f>G38-H38- IF(Dimensionamento!$E$7="A", Dimensionamento!$E$35*Dimensionamento!$E$18*12, 0)</f>
        <v>#DIV/0!</v>
      </c>
      <c r="J38" s="86" t="e">
        <f t="shared" si="0"/>
        <v>#DIV/0!</v>
      </c>
      <c r="K38" s="86" t="e">
        <f>I38/(1+$E$6)^C38</f>
        <v>#DIV/0!</v>
      </c>
      <c r="L38" s="86" t="e">
        <f t="shared" si="1"/>
        <v>#DIV/0!</v>
      </c>
    </row>
    <row r="39" spans="3:12" ht="15" customHeight="1" x14ac:dyDescent="0.35">
      <c r="C39" s="87">
        <v>24</v>
      </c>
      <c r="D39" s="88" t="e">
        <f>Dimensionamento!$E$41*12*(1-$E$10-(C39-2)*$E$11)</f>
        <v>#DIV/0!</v>
      </c>
      <c r="E39" s="88">
        <f>E38*(1+$E$4)</f>
        <v>0</v>
      </c>
      <c r="F39" s="88">
        <f>F38*(1+$E$4)</f>
        <v>0</v>
      </c>
      <c r="G39" s="88" t="e">
        <f>(E39*$E$5+(1-$E$5)*F39)*D39</f>
        <v>#DIV/0!</v>
      </c>
      <c r="H39" s="88" t="e">
        <f>IF(OR(C39=$E$7,C39=2*$E$7),G39*($E$8+$E$9),G39*$E$8)</f>
        <v>#DIV/0!</v>
      </c>
      <c r="I39" s="88" t="e">
        <f>G39-H39- IF(Dimensionamento!$E$7="A", Dimensionamento!$E$35*Dimensionamento!$E$18*12, 0)</f>
        <v>#DIV/0!</v>
      </c>
      <c r="J39" s="88" t="e">
        <f t="shared" si="0"/>
        <v>#DIV/0!</v>
      </c>
      <c r="K39" s="88" t="e">
        <f>I39/(1+$E$6)^C39</f>
        <v>#DIV/0!</v>
      </c>
      <c r="L39" s="88" t="e">
        <f t="shared" si="1"/>
        <v>#DIV/0!</v>
      </c>
    </row>
    <row r="40" spans="3:12" ht="15" customHeight="1" x14ac:dyDescent="0.35">
      <c r="C40" s="85">
        <v>25</v>
      </c>
      <c r="D40" s="86" t="e">
        <f>Dimensionamento!$E$41*12*(1-$E$10-(C40-2)*$E$11)</f>
        <v>#DIV/0!</v>
      </c>
      <c r="E40" s="86">
        <f>E39*(1+$E$4)</f>
        <v>0</v>
      </c>
      <c r="F40" s="86">
        <f>F39*(1+$E$4)</f>
        <v>0</v>
      </c>
      <c r="G40" s="86" t="e">
        <f>(E40*$E$5+(1-$E$5)*F40)*D40</f>
        <v>#DIV/0!</v>
      </c>
      <c r="H40" s="86" t="e">
        <f>IF(OR(C40=$E$7,C40=2*$E$7),G40*($E$8+$E$9),G40*$E$8)</f>
        <v>#DIV/0!</v>
      </c>
      <c r="I40" s="86" t="e">
        <f>G40-H40- IF(Dimensionamento!$E$7="A", Dimensionamento!$E$35*Dimensionamento!$E$18*12, 0)</f>
        <v>#DIV/0!</v>
      </c>
      <c r="J40" s="86" t="e">
        <f t="shared" si="0"/>
        <v>#DIV/0!</v>
      </c>
      <c r="K40" s="86" t="e">
        <f>I40/(1+$E$6)^C40</f>
        <v>#DIV/0!</v>
      </c>
      <c r="L40" s="86" t="e">
        <f t="shared" si="1"/>
        <v>#DIV/0!</v>
      </c>
    </row>
    <row r="41" spans="3:12" ht="15" customHeight="1" x14ac:dyDescent="0.35">
      <c r="C41" s="87">
        <v>26</v>
      </c>
      <c r="D41" s="88" t="e">
        <f>Dimensionamento!$E$41*12*(1-$E$10-(C41-2)*$E$11)</f>
        <v>#DIV/0!</v>
      </c>
      <c r="E41" s="88">
        <f>E40*(1+$E$4)</f>
        <v>0</v>
      </c>
      <c r="F41" s="88">
        <f>F40*(1+$E$4)</f>
        <v>0</v>
      </c>
      <c r="G41" s="88" t="e">
        <f>(E41*$E$5+(1-$E$5)*F41)*D41</f>
        <v>#DIV/0!</v>
      </c>
      <c r="H41" s="88" t="e">
        <f>IF(OR(C41=$E$7,C41=2*$E$7),G41*($E$8+$E$9),G41*$E$8)</f>
        <v>#DIV/0!</v>
      </c>
      <c r="I41" s="88" t="e">
        <f>G41-H41- IF(Dimensionamento!$E$7="A", Dimensionamento!$E$35*Dimensionamento!$E$18*12, 0)</f>
        <v>#DIV/0!</v>
      </c>
      <c r="J41" s="88" t="e">
        <f t="shared" si="0"/>
        <v>#DIV/0!</v>
      </c>
      <c r="K41" s="88" t="e">
        <f>I41/(1+$E$6)^C41</f>
        <v>#DIV/0!</v>
      </c>
      <c r="L41" s="88" t="e">
        <f t="shared" si="1"/>
        <v>#DIV/0!</v>
      </c>
    </row>
    <row r="42" spans="3:12" ht="15" customHeight="1" x14ac:dyDescent="0.35">
      <c r="C42" s="85">
        <v>27</v>
      </c>
      <c r="D42" s="86" t="e">
        <f>Dimensionamento!$E$41*12*(1-$E$10-(C42-2)*$E$11)</f>
        <v>#DIV/0!</v>
      </c>
      <c r="E42" s="86">
        <f>E41*(1+$E$4)</f>
        <v>0</v>
      </c>
      <c r="F42" s="86">
        <f>F41*(1+$E$4)</f>
        <v>0</v>
      </c>
      <c r="G42" s="86" t="e">
        <f>(E42*$E$5+(1-$E$5)*F42)*D42</f>
        <v>#DIV/0!</v>
      </c>
      <c r="H42" s="86" t="e">
        <f>IF(OR(C42=$E$7,C42=2*$E$7),G42*($E$8+$E$9),G42*$E$8)</f>
        <v>#DIV/0!</v>
      </c>
      <c r="I42" s="86" t="e">
        <f>G42-H42- IF(Dimensionamento!$E$7="A", Dimensionamento!$E$35*Dimensionamento!$E$18*12, 0)</f>
        <v>#DIV/0!</v>
      </c>
      <c r="J42" s="86" t="e">
        <f t="shared" si="0"/>
        <v>#DIV/0!</v>
      </c>
      <c r="K42" s="86" t="e">
        <f>I42/(1+$E$6)^C42</f>
        <v>#DIV/0!</v>
      </c>
      <c r="L42" s="86" t="e">
        <f t="shared" si="1"/>
        <v>#DIV/0!</v>
      </c>
    </row>
    <row r="43" spans="3:12" ht="15" customHeight="1" x14ac:dyDescent="0.35">
      <c r="C43" s="87">
        <v>28</v>
      </c>
      <c r="D43" s="88" t="e">
        <f>Dimensionamento!$E$41*12*(1-$E$10-(C43-2)*$E$11)</f>
        <v>#DIV/0!</v>
      </c>
      <c r="E43" s="88">
        <f>E42*(1+$E$4)</f>
        <v>0</v>
      </c>
      <c r="F43" s="88">
        <f>F42*(1+$E$4)</f>
        <v>0</v>
      </c>
      <c r="G43" s="88" t="e">
        <f>(E43*$E$5+(1-$E$5)*F43)*D43</f>
        <v>#DIV/0!</v>
      </c>
      <c r="H43" s="88" t="e">
        <f>IF(OR(C43=$E$7,C43=2*$E$7),G43*($E$8+$E$9),G43*$E$8)</f>
        <v>#DIV/0!</v>
      </c>
      <c r="I43" s="88" t="e">
        <f>G43-H43- IF(Dimensionamento!$E$7="A", Dimensionamento!$E$35*Dimensionamento!$E$18*12, 0)</f>
        <v>#DIV/0!</v>
      </c>
      <c r="J43" s="88" t="e">
        <f t="shared" si="0"/>
        <v>#DIV/0!</v>
      </c>
      <c r="K43" s="88" t="e">
        <f>I43/(1+$E$6)^C43</f>
        <v>#DIV/0!</v>
      </c>
      <c r="L43" s="88" t="e">
        <f t="shared" si="1"/>
        <v>#DIV/0!</v>
      </c>
    </row>
    <row r="44" spans="3:12" ht="15" customHeight="1" x14ac:dyDescent="0.35">
      <c r="C44" s="85">
        <v>29</v>
      </c>
      <c r="D44" s="86" t="e">
        <f>Dimensionamento!$E$41*12*(1-$E$10-(C44-2)*$E$11)</f>
        <v>#DIV/0!</v>
      </c>
      <c r="E44" s="86">
        <f>E43*(1+$E$4)</f>
        <v>0</v>
      </c>
      <c r="F44" s="86">
        <f>F43*(1+$E$4)</f>
        <v>0</v>
      </c>
      <c r="G44" s="86" t="e">
        <f>(E44*$E$5+(1-$E$5)*F44)*D44</f>
        <v>#DIV/0!</v>
      </c>
      <c r="H44" s="86" t="e">
        <f>IF(OR(C44=$E$7,C44=2*$E$7),G44*($E$8+$E$9),G44*$E$8)</f>
        <v>#DIV/0!</v>
      </c>
      <c r="I44" s="86" t="e">
        <f>G44-H44- IF(Dimensionamento!$E$7="A", Dimensionamento!$E$35*Dimensionamento!$E$18*12, 0)</f>
        <v>#DIV/0!</v>
      </c>
      <c r="J44" s="86" t="e">
        <f t="shared" si="0"/>
        <v>#DIV/0!</v>
      </c>
      <c r="K44" s="86" t="e">
        <f>I44/(1+$E$6)^C44</f>
        <v>#DIV/0!</v>
      </c>
      <c r="L44" s="86" t="e">
        <f t="shared" si="1"/>
        <v>#DIV/0!</v>
      </c>
    </row>
    <row r="45" spans="3:12" ht="15" customHeight="1" thickBot="1" x14ac:dyDescent="0.4">
      <c r="C45" s="89">
        <v>30</v>
      </c>
      <c r="D45" s="90" t="e">
        <f>Dimensionamento!$E$41*12*(1-$E$10-(C45-2)*$E$11)</f>
        <v>#DIV/0!</v>
      </c>
      <c r="E45" s="90">
        <f>E44*(1+$E$4)</f>
        <v>0</v>
      </c>
      <c r="F45" s="90">
        <f>F44*(1+$E$4)</f>
        <v>0</v>
      </c>
      <c r="G45" s="90" t="e">
        <f>(E45*$E$5+(1-$E$5)*F45)*D45</f>
        <v>#DIV/0!</v>
      </c>
      <c r="H45" s="90" t="e">
        <f>IF(OR(C45=$E$7,C45=2*$E$7),G45*($E$8+$E$9),G45*$E$8)</f>
        <v>#DIV/0!</v>
      </c>
      <c r="I45" s="90" t="e">
        <f>G45-H45- IF(Dimensionamento!$E$7="A", Dimensionamento!$E$35*Dimensionamento!$E$18*12, 0)</f>
        <v>#DIV/0!</v>
      </c>
      <c r="J45" s="90" t="e">
        <f t="shared" si="0"/>
        <v>#DIV/0!</v>
      </c>
      <c r="K45" s="90" t="e">
        <f>I45/(1+$E$6)^C45</f>
        <v>#DIV/0!</v>
      </c>
      <c r="L45" s="90" t="e">
        <f t="shared" si="1"/>
        <v>#DIV/0!</v>
      </c>
    </row>
    <row r="47" spans="3:12" ht="15" customHeight="1" thickBot="1" x14ac:dyDescent="0.4"/>
    <row r="48" spans="3:12" ht="15" customHeight="1" thickBot="1" x14ac:dyDescent="0.4">
      <c r="C48" s="110" t="s">
        <v>151</v>
      </c>
      <c r="D48" s="127" t="e">
        <f>SUM(K15:K45)</f>
        <v>#DIV/0!</v>
      </c>
      <c r="E48" s="125"/>
    </row>
    <row r="49" spans="2:12" ht="15" customHeight="1" thickTop="1" thickBot="1" x14ac:dyDescent="0.4">
      <c r="C49" s="110" t="s">
        <v>150</v>
      </c>
      <c r="D49" s="128" t="e">
        <f>IRR(I15:I45)</f>
        <v>#VALUE!</v>
      </c>
    </row>
    <row r="51" spans="2:12" ht="15" customHeight="1" x14ac:dyDescent="0.35">
      <c r="B51" s="126" t="s">
        <v>152</v>
      </c>
      <c r="C51" s="126"/>
      <c r="D51" s="126"/>
      <c r="E51" s="126"/>
      <c r="F51" s="126"/>
      <c r="G51" s="126"/>
      <c r="H51" s="126"/>
      <c r="I51" s="126"/>
      <c r="J51" s="126"/>
      <c r="K51" s="126"/>
      <c r="L51" s="126"/>
    </row>
    <row r="52" spans="2:12" ht="15" customHeight="1" x14ac:dyDescent="0.35"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</row>
    <row r="53" spans="2:12" ht="15" customHeight="1" x14ac:dyDescent="0.35"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</row>
    <row r="55" spans="2:12" ht="15" customHeight="1" x14ac:dyDescent="0.35">
      <c r="B55" s="126" t="s">
        <v>153</v>
      </c>
      <c r="C55" s="126"/>
      <c r="D55" s="126"/>
      <c r="E55" s="126"/>
      <c r="F55" s="126"/>
      <c r="G55" s="126"/>
      <c r="H55" s="126"/>
      <c r="I55" s="126"/>
      <c r="J55" s="126"/>
      <c r="K55" s="126"/>
      <c r="L55" s="126"/>
    </row>
    <row r="56" spans="2:12" ht="15" customHeight="1" x14ac:dyDescent="0.35"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</row>
    <row r="57" spans="2:12" ht="15" customHeight="1" x14ac:dyDescent="0.35"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</row>
  </sheetData>
  <mergeCells count="13">
    <mergeCell ref="B51:L53"/>
    <mergeCell ref="B55:L57"/>
    <mergeCell ref="B1:D1"/>
    <mergeCell ref="B9:D9"/>
    <mergeCell ref="B10:D10"/>
    <mergeCell ref="B11:D11"/>
    <mergeCell ref="G2:H2"/>
    <mergeCell ref="G3:H3"/>
    <mergeCell ref="B5:D5"/>
    <mergeCell ref="B6:D6"/>
    <mergeCell ref="B7:D7"/>
    <mergeCell ref="B8:D8"/>
    <mergeCell ref="B4:D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Dimensionamento</vt:lpstr>
      <vt:lpstr>Payback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dos Santos</dc:creator>
  <cp:lastModifiedBy>Pedro dos Santos</cp:lastModifiedBy>
  <dcterms:created xsi:type="dcterms:W3CDTF">2026-05-20T21:11:41Z</dcterms:created>
  <dcterms:modified xsi:type="dcterms:W3CDTF">2026-05-30T00:30:54Z</dcterms:modified>
</cp:coreProperties>
</file>