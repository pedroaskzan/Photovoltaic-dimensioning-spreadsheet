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82DCCC-6033-4A46-94F3-F17F92AB7BEA}" xr6:coauthVersionLast="47" xr6:coauthVersionMax="47" xr10:uidLastSave="{00000000-0000-0000-0000-000000000000}"/>
  <bookViews>
    <workbookView xWindow="-110" yWindow="-110" windowWidth="19420" windowHeight="10300" xr2:uid="{F3098340-45CE-453E-8700-D146D20039C6}"/>
  </bookViews>
  <sheets>
    <sheet name="Dimensionamento" sheetId="1" r:id="rId1"/>
    <sheet name="Pay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2" i="1"/>
  <c r="P6" i="2" l="1"/>
  <c r="P5" i="2"/>
  <c r="P4" i="2"/>
  <c r="P3" i="2"/>
  <c r="G67" i="1"/>
  <c r="G68" i="1" s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47" i="1"/>
  <c r="E43" i="1"/>
  <c r="E33" i="1"/>
  <c r="E31" i="1"/>
  <c r="E30" i="1"/>
  <c r="E36" i="1" s="1"/>
  <c r="E37" i="1" s="1"/>
  <c r="E39" i="1" s="1"/>
  <c r="F16" i="2" l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E16" i="2"/>
  <c r="E17" i="2" s="1"/>
  <c r="G63" i="1"/>
  <c r="E41" i="1"/>
  <c r="E40" i="1"/>
  <c r="E38" i="1"/>
  <c r="E42" i="1" s="1"/>
  <c r="G73" i="1"/>
  <c r="I15" i="2" l="1"/>
  <c r="D75" i="1"/>
  <c r="D19" i="2"/>
  <c r="D31" i="2"/>
  <c r="D32" i="2"/>
  <c r="D35" i="2"/>
  <c r="D33" i="2"/>
  <c r="D41" i="2"/>
  <c r="D34" i="2"/>
  <c r="D42" i="2"/>
  <c r="D43" i="2"/>
  <c r="D36" i="2"/>
  <c r="D38" i="2"/>
  <c r="D39" i="2"/>
  <c r="D40" i="2"/>
  <c r="D23" i="2"/>
  <c r="D18" i="2"/>
  <c r="D24" i="2"/>
  <c r="D44" i="2"/>
  <c r="D37" i="2"/>
  <c r="D45" i="2"/>
  <c r="D25" i="2"/>
  <c r="D21" i="2"/>
  <c r="D22" i="2"/>
  <c r="D20" i="2"/>
  <c r="D17" i="2"/>
  <c r="D26" i="2"/>
  <c r="D28" i="2"/>
  <c r="D29" i="2"/>
  <c r="D30" i="2"/>
  <c r="D16" i="2"/>
  <c r="G16" i="2" s="1"/>
  <c r="D27" i="2"/>
  <c r="G17" i="2"/>
  <c r="E18" i="2"/>
  <c r="H17" i="2" l="1"/>
  <c r="I17" i="2" s="1"/>
  <c r="H16" i="2"/>
  <c r="I16" i="2" s="1"/>
  <c r="L15" i="2"/>
  <c r="J15" i="2"/>
  <c r="K15" i="2"/>
  <c r="G18" i="2"/>
  <c r="E19" i="2"/>
  <c r="H18" i="2" l="1"/>
  <c r="I18" i="2" s="1"/>
  <c r="K16" i="2"/>
  <c r="L16" i="2" s="1"/>
  <c r="J16" i="2"/>
  <c r="J17" i="2" s="1"/>
  <c r="K17" i="2"/>
  <c r="E20" i="2"/>
  <c r="G19" i="2"/>
  <c r="J18" i="2" l="1"/>
  <c r="L17" i="2"/>
  <c r="H19" i="2"/>
  <c r="I19" i="2" s="1"/>
  <c r="K18" i="2"/>
  <c r="L18" i="2" s="1"/>
  <c r="E21" i="2"/>
  <c r="G20" i="2"/>
  <c r="J19" i="2" l="1"/>
  <c r="H20" i="2"/>
  <c r="I20" i="2" s="1"/>
  <c r="J20" i="2" s="1"/>
  <c r="K19" i="2"/>
  <c r="L19" i="2" s="1"/>
  <c r="E22" i="2"/>
  <c r="G21" i="2"/>
  <c r="H21" i="2" l="1"/>
  <c r="I21" i="2" s="1"/>
  <c r="K20" i="2"/>
  <c r="L20" i="2" s="1"/>
  <c r="E23" i="2"/>
  <c r="G22" i="2"/>
  <c r="J21" i="2" l="1"/>
  <c r="H22" i="2"/>
  <c r="I22" i="2" s="1"/>
  <c r="J22" i="2" s="1"/>
  <c r="K21" i="2"/>
  <c r="L21" i="2" s="1"/>
  <c r="E24" i="2"/>
  <c r="G23" i="2"/>
  <c r="H23" i="2" l="1"/>
  <c r="I23" i="2" s="1"/>
  <c r="J23" i="2" s="1"/>
  <c r="K22" i="2"/>
  <c r="L22" i="2" s="1"/>
  <c r="E25" i="2"/>
  <c r="G24" i="2"/>
  <c r="H24" i="2" l="1"/>
  <c r="I24" i="2" s="1"/>
  <c r="J24" i="2" s="1"/>
  <c r="K23" i="2"/>
  <c r="L23" i="2" s="1"/>
  <c r="E26" i="2"/>
  <c r="G25" i="2"/>
  <c r="H25" i="2" l="1"/>
  <c r="I25" i="2" s="1"/>
  <c r="J25" i="2" s="1"/>
  <c r="K24" i="2"/>
  <c r="L24" i="2" s="1"/>
  <c r="E27" i="2"/>
  <c r="G26" i="2"/>
  <c r="H26" i="2" l="1"/>
  <c r="I26" i="2" s="1"/>
  <c r="J26" i="2" s="1"/>
  <c r="K25" i="2"/>
  <c r="L25" i="2" s="1"/>
  <c r="E28" i="2"/>
  <c r="G27" i="2"/>
  <c r="H27" i="2" l="1"/>
  <c r="I27" i="2" s="1"/>
  <c r="J27" i="2" s="1"/>
  <c r="K26" i="2"/>
  <c r="L26" i="2" s="1"/>
  <c r="E29" i="2"/>
  <c r="G28" i="2"/>
  <c r="H28" i="2" l="1"/>
  <c r="I28" i="2" s="1"/>
  <c r="J28" i="2" s="1"/>
  <c r="K27" i="2"/>
  <c r="L27" i="2" s="1"/>
  <c r="E30" i="2"/>
  <c r="G29" i="2"/>
  <c r="H29" i="2" l="1"/>
  <c r="I29" i="2" s="1"/>
  <c r="J29" i="2" s="1"/>
  <c r="K28" i="2"/>
  <c r="L28" i="2" s="1"/>
  <c r="E31" i="2"/>
  <c r="G30" i="2"/>
  <c r="H30" i="2" l="1"/>
  <c r="I30" i="2" s="1"/>
  <c r="J30" i="2" s="1"/>
  <c r="K29" i="2"/>
  <c r="L29" i="2" s="1"/>
  <c r="E32" i="2"/>
  <c r="G31" i="2"/>
  <c r="H31" i="2" l="1"/>
  <c r="I31" i="2" s="1"/>
  <c r="J31" i="2" s="1"/>
  <c r="K30" i="2"/>
  <c r="L30" i="2" s="1"/>
  <c r="E33" i="2"/>
  <c r="G32" i="2"/>
  <c r="H32" i="2" l="1"/>
  <c r="I32" i="2" s="1"/>
  <c r="J32" i="2" s="1"/>
  <c r="K31" i="2"/>
  <c r="L31" i="2" s="1"/>
  <c r="E34" i="2"/>
  <c r="G33" i="2"/>
  <c r="H33" i="2" l="1"/>
  <c r="I33" i="2"/>
  <c r="K32" i="2"/>
  <c r="L32" i="2" s="1"/>
  <c r="E35" i="2"/>
  <c r="G34" i="2"/>
  <c r="J33" i="2"/>
  <c r="H34" i="2" l="1"/>
  <c r="I34" i="2" s="1"/>
  <c r="J34" i="2" s="1"/>
  <c r="K33" i="2"/>
  <c r="L33" i="2" s="1"/>
  <c r="E36" i="2"/>
  <c r="G35" i="2"/>
  <c r="H35" i="2" l="1"/>
  <c r="I35" i="2" s="1"/>
  <c r="J35" i="2" s="1"/>
  <c r="K34" i="2"/>
  <c r="L34" i="2" s="1"/>
  <c r="E37" i="2"/>
  <c r="G36" i="2"/>
  <c r="H36" i="2" l="1"/>
  <c r="I36" i="2"/>
  <c r="J36" i="2" s="1"/>
  <c r="K35" i="2"/>
  <c r="L35" i="2" s="1"/>
  <c r="E38" i="2"/>
  <c r="G37" i="2"/>
  <c r="H37" i="2" l="1"/>
  <c r="I37" i="2" s="1"/>
  <c r="J37" i="2" s="1"/>
  <c r="K36" i="2"/>
  <c r="L36" i="2" s="1"/>
  <c r="E39" i="2"/>
  <c r="G38" i="2"/>
  <c r="H38" i="2" l="1"/>
  <c r="I38" i="2" s="1"/>
  <c r="J38" i="2" s="1"/>
  <c r="K37" i="2"/>
  <c r="L37" i="2" s="1"/>
  <c r="E40" i="2"/>
  <c r="G39" i="2"/>
  <c r="H39" i="2" l="1"/>
  <c r="I39" i="2" s="1"/>
  <c r="J39" i="2" s="1"/>
  <c r="K38" i="2"/>
  <c r="L38" i="2" s="1"/>
  <c r="E41" i="2"/>
  <c r="G40" i="2"/>
  <c r="H40" i="2" l="1"/>
  <c r="I40" i="2"/>
  <c r="K39" i="2"/>
  <c r="L39" i="2" s="1"/>
  <c r="J40" i="2"/>
  <c r="E42" i="2"/>
  <c r="G41" i="2"/>
  <c r="H41" i="2" l="1"/>
  <c r="I41" i="2"/>
  <c r="K40" i="2"/>
  <c r="L40" i="2" s="1"/>
  <c r="E43" i="2"/>
  <c r="G42" i="2"/>
  <c r="J41" i="2"/>
  <c r="H42" i="2" l="1"/>
  <c r="I42" i="2" s="1"/>
  <c r="J42" i="2" s="1"/>
  <c r="K41" i="2"/>
  <c r="L41" i="2" s="1"/>
  <c r="E44" i="2"/>
  <c r="G43" i="2"/>
  <c r="H43" i="2" l="1"/>
  <c r="I43" i="2" s="1"/>
  <c r="J43" i="2" s="1"/>
  <c r="K42" i="2"/>
  <c r="L42" i="2" s="1"/>
  <c r="E45" i="2"/>
  <c r="G45" i="2" s="1"/>
  <c r="G44" i="2"/>
  <c r="H45" i="2" l="1"/>
  <c r="I45" i="2" s="1"/>
  <c r="H44" i="2"/>
  <c r="K43" i="2"/>
  <c r="L43" i="2" s="1"/>
  <c r="I44" i="2" l="1"/>
  <c r="J44" i="2" s="1"/>
  <c r="J45" i="2" s="1"/>
  <c r="K45" i="2"/>
  <c r="D49" i="2" l="1"/>
  <c r="K44" i="2"/>
  <c r="L44" i="2" s="1"/>
  <c r="L45" i="2" s="1"/>
  <c r="D48" i="2" l="1"/>
</calcChain>
</file>

<file path=xl/sharedStrings.xml><?xml version="1.0" encoding="utf-8"?>
<sst xmlns="http://schemas.openxmlformats.org/spreadsheetml/2006/main" count="170" uniqueCount="163">
  <si>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</si>
  <si>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</si>
  <si>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</si>
  <si>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</si>
  <si>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</si>
  <si>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</si>
  <si>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</si>
  <si>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</si>
  <si>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</si>
  <si>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</si>
  <si>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</si>
  <si>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</si>
  <si>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</si>
  <si>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</si>
  <si>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</si>
  <si>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</si>
  <si>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</si>
  <si>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</si>
  <si>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</si>
  <si>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</si>
  <si>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</si>
  <si>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</si>
  <si>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</si>
  <si>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</si>
  <si>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</si>
  <si>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</si>
  <si>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</si>
  <si>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</si>
  <si>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Modelo tarifário</t>
  </si>
  <si>
    <t>Dados Indicados (inputs)</t>
  </si>
  <si>
    <t>Dimensionamento Preliminar (outputs)</t>
  </si>
  <si>
    <t>(Grupo B) custo consumo TUSD (R$/kWh)</t>
  </si>
  <si>
    <t>(Grupo B) custo consumo TE (R$/kWh)</t>
  </si>
  <si>
    <t>(Grupo A) consumo Fponta TUSD</t>
  </si>
  <si>
    <t>(Grupo A) consumo Fponta TE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</si>
  <si>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</si>
  <si>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</si>
  <si>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</si>
  <si>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</si>
  <si>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</si>
  <si>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</si>
  <si>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</si>
  <si>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</si>
  <si>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</si>
  <si>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</si>
  <si>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</si>
  <si>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</si>
  <si>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</si>
  <si>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</si>
  <si>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</si>
  <si>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</si>
  <si>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</si>
  <si>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</si>
  <si>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</si>
  <si>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</si>
  <si>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</si>
  <si>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</si>
  <si>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</si>
  <si>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</si>
  <si>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</si>
  <si>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</si>
  <si>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</si>
  <si>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</si>
  <si>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</si>
  <si>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</si>
  <si>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</si>
  <si>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</si>
  <si>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</si>
  <si>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</si>
  <si>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</si>
  <si>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</si>
  <si>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</si>
  <si>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</si>
  <si>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</si>
  <si>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</si>
  <si>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</si>
  <si>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</si>
  <si>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</si>
  <si>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</si>
  <si>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</si>
  <si>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</si>
  <si>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</si>
  <si>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</si>
  <si>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</si>
  <si>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</si>
  <si>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</si>
  <si>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</si>
  <si>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</si>
  <si>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</si>
  <si>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</si>
  <si>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</si>
  <si>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</si>
  <si>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</si>
  <si>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</si>
  <si>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</si>
  <si>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</si>
  <si>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</si>
  <si>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</si>
  <si>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</si>
  <si>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</si>
  <si>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</si>
  <si>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</si>
  <si>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</si>
  <si>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</si>
  <si>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</si>
  <si>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À direita das células preenchíveis, seguem explicações.</t>
  </si>
  <si>
    <t>*Sundata.</t>
  </si>
  <si>
    <t>Se não há TUSD e TE separados na conta de energia, considere TE=TUSD.</t>
  </si>
  <si>
    <t>TE: custo da energia; TUSD: custo do transporte dela.</t>
  </si>
  <si>
    <t>Por fins de aproximação, desconsidero a ponta para o cálculo de Payback pois em Pernambuco ponta começa às 17:30, mas no horário a geração é tão pouca que desconsidero para facilitar cálculos.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</si>
  <si>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</si>
  <si>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</si>
  <si>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</si>
  <si>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</si>
  <si>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</si>
  <si>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</si>
  <si>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</si>
  <si>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</si>
  <si>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</si>
  <si>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</si>
  <si>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</si>
  <si>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</si>
  <si>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</si>
  <si>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Geração estimada.</t>
  </si>
  <si>
    <t>Conferir datasheet e ver se o inversor suporta, precisa de VMPPTmax_Inverter_Datasheet &gt; do que este valor.</t>
  </si>
  <si>
    <t>Preço item a item.</t>
  </si>
  <si>
    <t>Preço de um kit solar pronto.</t>
  </si>
  <si>
    <t>"Projeto adequado tem custo entre 4 a 7 R$/Wp".</t>
  </si>
  <si>
    <t>Baseado no aumento médio do custo da energia nos últimos anos.</t>
  </si>
  <si>
    <t>*Qnt. geração usada para suprir o próprio consumo, não injetada - escolher entre 20-40% se não houver armazenamento (BESS); com BESS, depende da estratégia adotada no sistema.</t>
  </si>
  <si>
    <t>Taxa usada para cálculo do Fluxo Descontado e VPL.</t>
  </si>
  <si>
    <t>Estimativa.</t>
  </si>
  <si>
    <t>Em torno de 30-70%. Apenas para efeitos de troca do inversor após a vida útil.</t>
  </si>
  <si>
    <t>1º ano.</t>
  </si>
  <si>
    <t>2º ano em diante.</t>
  </si>
  <si>
    <t>TE_ef</t>
  </si>
  <si>
    <t>TUSD_ef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</si>
  <si>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</si>
  <si>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</si>
  <si>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</si>
  <si>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</si>
  <si>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90% = base (2029) até nova resolução ANEEL.</t>
  </si>
  <si>
    <t>TIR</t>
  </si>
  <si>
    <t>VPL</t>
  </si>
  <si>
    <t>VPL: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</si>
  <si>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TIR: Taxa de desconto que zera o VPL; representa a rentabilidade equivalente do investimento.</t>
  </si>
  <si>
    <t>(Grupo A) custo energia injetada</t>
  </si>
  <si>
    <t>Porcentagem fio B</t>
  </si>
  <si>
    <t>90% = base 2029, irá mudar com nova resolução ANEEL</t>
  </si>
  <si>
    <t>(Grupo A) custo demanda de geração TUSDG</t>
  </si>
  <si>
    <t>(Grupo A) Demanda de geração contratada ótima</t>
  </si>
  <si>
    <t>B</t>
  </si>
  <si>
    <t>-</t>
  </si>
  <si>
    <t>Grupo B: tensão menor que 2,3kV</t>
  </si>
  <si>
    <t>Grupo A: tensão maior que 2,3kV</t>
  </si>
  <si>
    <t>Da conta de energia, disponível lá ou publicamente pela concessionária. *Se for tarifa branca, escolher o horário fora de ponta para facilitar cálculo. Espere um retorno 5-9% maior na realidade</t>
  </si>
  <si>
    <r>
      <t>º/</t>
    </r>
    <r>
      <rPr>
        <b/>
        <sz val="8"/>
        <color theme="1"/>
        <rFont val="Trebuchet MS"/>
        <family val="2"/>
        <scheme val="major"/>
      </rPr>
      <t>Norte</t>
    </r>
    <r>
      <rPr>
        <sz val="8"/>
        <color theme="1"/>
        <rFont val="Trebuchet MS"/>
        <family val="2"/>
        <scheme val="major"/>
      </rPr>
      <t>; escolha ótima se for possível escolher a inclinação (compensa pela inclinação da latitude).</t>
    </r>
  </si>
  <si>
    <r>
      <rPr>
        <sz val="8"/>
        <color theme="1"/>
        <rFont val="Trebuchet MS"/>
        <family val="2"/>
        <scheme val="major"/>
      </rPr>
      <t>W;</t>
    </r>
    <r>
      <rPr>
        <i/>
        <sz val="8"/>
        <color theme="1"/>
        <rFont val="Trebuchet MS"/>
        <family val="2"/>
        <scheme val="major"/>
      </rPr>
      <t xml:space="preserve"> aproximado.</t>
    </r>
  </si>
  <si>
    <r>
      <t xml:space="preserve">W, </t>
    </r>
    <r>
      <rPr>
        <i/>
        <sz val="8"/>
        <color theme="1"/>
        <rFont val="Trebuchet MS"/>
        <family val="2"/>
        <scheme val="major"/>
      </rPr>
      <t>aproximado</t>
    </r>
  </si>
  <si>
    <t>Em torno de 1%-5% do custo de Energia Gerada para limpeza do módulos.</t>
  </si>
  <si>
    <t>*É estimado que com BESS instalado e estratégia de usar para autoconsumo e evitar pagar FioB ajude ainda mais a valorizar o projeto.</t>
  </si>
  <si>
    <t>R$/kWh. Desconsiderar se é grupo B</t>
  </si>
  <si>
    <t>https://institutosolar.com/como-calcular-o-valor-do-fio-b-para-energia-solar/#:~:text=Para%20se%20obter%20o%20valor,Tarifas%20%3E%3E%20Relat%C3%B3rios%20e%20Indicadores.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</si>
</sst>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&quot;R$&quot;\ #,##0.00"/>
  </numFmts>
  <fonts count="21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  <font>
      <u/>
      <sz val="11"/>
      <color theme="10"/>
      <name val="Trebuchet MS"/>
      <family val="2"/>
      <scheme val="minor"/>
    </font>
    <font>
      <u/>
      <sz val="8"/>
      <color theme="10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5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/>
    <xf numFmtId="0" fontId="1" fillId="3" borderId="2" xfId="0" applyFont="1" applyFill="1" applyBorder="1"/>
    <xf numFmtId="0" fontId="1" fillId="8" borderId="2" xfId="0" applyFont="1" applyFill="1" applyBorder="1"/>
    <xf numFmtId="0" fontId="11" fillId="4" borderId="3" xfId="0" applyFont="1" applyFill="1" applyBorder="1" applyAlignment="1">
      <alignment horizontal="left"/>
    </xf>
    <xf numFmtId="0" fontId="11" fillId="4" borderId="15" xfId="0" applyFont="1" applyFill="1" applyBorder="1" applyAlignment="1">
      <alignment horizontal="center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1" fillId="3" borderId="1" xfId="0" applyFont="1" applyFill="1" applyBorder="1"/>
    <xf numFmtId="0" fontId="1" fillId="8" borderId="1" xfId="0" applyFont="1" applyFill="1" applyBorder="1"/>
    <xf numFmtId="0" fontId="1" fillId="3" borderId="21" xfId="0" applyFont="1" applyFill="1" applyBorder="1"/>
    <xf numFmtId="0" fontId="1" fillId="8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2" fillId="0" borderId="0" xfId="0" applyFont="1" applyAlignment="1">
      <alignment horizontal="right"/>
    </xf>
    <xf numFmtId="0" fontId="12" fillId="0" borderId="0" xfId="0" applyFont="1"/>
    <xf numFmtId="0" fontId="1" fillId="8" borderId="0" xfId="0" applyFont="1" applyFill="1"/>
    <xf numFmtId="0" fontId="11" fillId="6" borderId="0" xfId="0" applyFont="1" applyFill="1"/>
    <xf numFmtId="0" fontId="16" fillId="8" borderId="2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8" borderId="25" xfId="0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4" fillId="6" borderId="22" xfId="0" applyFont="1" applyFill="1" applyBorder="1"/>
    <xf numFmtId="164" fontId="3" fillId="6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165" fontId="12" fillId="8" borderId="2" xfId="0" applyNumberFormat="1" applyFont="1" applyFill="1" applyBorder="1"/>
    <xf numFmtId="165" fontId="12" fillId="3" borderId="2" xfId="0" applyNumberFormat="1" applyFont="1" applyFill="1" applyBorder="1"/>
    <xf numFmtId="0" fontId="12" fillId="3" borderId="2" xfId="0" applyFont="1" applyFill="1" applyBorder="1"/>
    <xf numFmtId="0" fontId="13" fillId="0" borderId="0" xfId="0" applyFont="1" applyAlignment="1">
      <alignment horizontal="left"/>
    </xf>
    <xf numFmtId="0" fontId="1" fillId="5" borderId="15" xfId="0" applyFont="1" applyFill="1" applyBorder="1"/>
    <xf numFmtId="0" fontId="1" fillId="5" borderId="20" xfId="0" applyFont="1" applyFill="1" applyBorder="1"/>
    <xf numFmtId="0" fontId="10" fillId="5" borderId="3" xfId="0" applyFont="1" applyFill="1" applyBorder="1"/>
    <xf numFmtId="0" fontId="10" fillId="5" borderId="15" xfId="0" applyFont="1" applyFill="1" applyBorder="1"/>
    <xf numFmtId="0" fontId="10" fillId="5" borderId="20" xfId="0" applyFont="1" applyFill="1" applyBorder="1"/>
    <xf numFmtId="0" fontId="1" fillId="5" borderId="3" xfId="0" applyFont="1" applyFill="1" applyBorder="1"/>
    <xf numFmtId="0" fontId="2" fillId="8" borderId="2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2" fillId="8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2" fillId="8" borderId="28" xfId="0" applyFont="1" applyFill="1" applyBorder="1"/>
    <xf numFmtId="9" fontId="2" fillId="8" borderId="29" xfId="0" applyNumberFormat="1" applyFont="1" applyFill="1" applyBorder="1"/>
    <xf numFmtId="9" fontId="2" fillId="8" borderId="27" xfId="0" applyNumberFormat="1" applyFont="1" applyFill="1" applyBorder="1" applyAlignment="1">
      <alignment horizontal="center"/>
    </xf>
    <xf numFmtId="0" fontId="5" fillId="5" borderId="11" xfId="0" applyFont="1" applyFill="1" applyBorder="1"/>
    <xf numFmtId="0" fontId="3" fillId="5" borderId="12" xfId="0" applyFont="1" applyFill="1" applyBorder="1"/>
    <xf numFmtId="0" fontId="1" fillId="5" borderId="13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 wrapText="1"/>
    </xf>
    <xf numFmtId="9" fontId="12" fillId="3" borderId="2" xfId="0" applyNumberFormat="1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2" fontId="12" fillId="0" borderId="25" xfId="0" applyNumberFormat="1" applyFont="1" applyBorder="1" applyAlignment="1">
      <alignment horizontal="center" vertical="center" wrapText="1"/>
    </xf>
    <xf numFmtId="2" fontId="12" fillId="8" borderId="25" xfId="0" applyNumberFormat="1" applyFont="1" applyFill="1" applyBorder="1" applyAlignment="1">
      <alignment horizontal="center" vertical="center" wrapText="1"/>
    </xf>
    <xf numFmtId="2" fontId="12" fillId="8" borderId="18" xfId="0" applyNumberFormat="1" applyFont="1" applyFill="1" applyBorder="1" applyAlignment="1">
      <alignment horizontal="center" vertical="center" wrapText="1"/>
    </xf>
    <xf numFmtId="2" fontId="12" fillId="8" borderId="24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3" fillId="0" borderId="6" xfId="0" applyFont="1" applyBorder="1"/>
    <xf numFmtId="0" fontId="13" fillId="0" borderId="0" xfId="0" applyFont="1"/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15" xfId="0" applyFont="1" applyBorder="1" applyAlignment="1">
      <alignment horizontal="center"/>
    </xf>
    <xf numFmtId="0" fontId="11" fillId="5" borderId="4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7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0" fillId="5" borderId="0" xfId="0" applyFont="1" applyFill="1" applyAlignment="1">
      <alignment horizontal="center"/>
    </xf>
    <xf numFmtId="0" fontId="2" fillId="5" borderId="30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3" fillId="5" borderId="0" xfId="0" applyFont="1" applyFill="1" applyAlignment="1">
      <alignment horizontal="left"/>
    </xf>
    <xf numFmtId="164" fontId="1" fillId="6" borderId="13" xfId="0" applyNumberFormat="1" applyFont="1" applyFill="1" applyBorder="1"/>
    <xf numFmtId="164" fontId="1" fillId="6" borderId="19" xfId="0" applyNumberFormat="1" applyFont="1" applyFill="1" applyBorder="1"/>
    <xf numFmtId="164" fontId="16" fillId="6" borderId="22" xfId="0" applyNumberFormat="1" applyFont="1" applyFill="1" applyBorder="1"/>
    <xf numFmtId="164" fontId="16" fillId="6" borderId="19" xfId="0" applyNumberFormat="1" applyFont="1" applyFill="1" applyBorder="1"/>
    <xf numFmtId="0" fontId="14" fillId="6" borderId="22" xfId="0" applyFont="1" applyFill="1" applyBorder="1" applyAlignment="1">
      <alignment horizontal="left"/>
    </xf>
    <xf numFmtId="0" fontId="14" fillId="6" borderId="26" xfId="0" applyFont="1" applyFill="1" applyBorder="1" applyAlignment="1">
      <alignment horizontal="left"/>
    </xf>
    <xf numFmtId="0" fontId="14" fillId="6" borderId="22" xfId="0" applyFont="1" applyFill="1" applyBorder="1" applyAlignment="1">
      <alignment horizontal="left" vertical="center" wrapText="1"/>
    </xf>
    <xf numFmtId="0" fontId="14" fillId="6" borderId="26" xfId="0" applyFont="1" applyFill="1" applyBorder="1" applyAlignment="1">
      <alignment horizontal="left" vertical="center" wrapText="1"/>
    </xf>
    <xf numFmtId="164" fontId="1" fillId="6" borderId="13" xfId="0" applyNumberFormat="1" applyFont="1" applyFill="1" applyBorder="1" applyAlignment="1">
      <alignment horizontal="center"/>
    </xf>
    <xf numFmtId="164" fontId="1" fillId="6" borderId="19" xfId="0" applyNumberFormat="1" applyFont="1" applyFill="1" applyBorder="1" applyAlignment="1">
      <alignment horizontal="center"/>
    </xf>
    <xf numFmtId="164" fontId="1" fillId="6" borderId="13" xfId="0" applyNumberFormat="1" applyFont="1" applyFill="1" applyBorder="1" applyAlignment="1">
      <alignment horizontal="left"/>
    </xf>
    <xf numFmtId="164" fontId="1" fillId="6" borderId="19" xfId="0" applyNumberFormat="1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3" fillId="5" borderId="3" xfId="0" applyFont="1" applyFill="1" applyBorder="1"/>
    <xf numFmtId="0" fontId="3" fillId="5" borderId="15" xfId="0" applyFont="1" applyFill="1" applyBorder="1"/>
    <xf numFmtId="0" fontId="3" fillId="5" borderId="14" xfId="0" applyFont="1" applyFill="1" applyBorder="1"/>
    <xf numFmtId="0" fontId="3" fillId="7" borderId="3" xfId="0" applyFont="1" applyFill="1" applyBorder="1"/>
    <xf numFmtId="0" fontId="3" fillId="7" borderId="15" xfId="0" applyFont="1" applyFill="1" applyBorder="1"/>
    <xf numFmtId="0" fontId="3" fillId="7" borderId="14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15" xfId="0" applyFont="1" applyFill="1" applyBorder="1"/>
    <xf numFmtId="0" fontId="4" fillId="7" borderId="14" xfId="0" applyFont="1" applyFill="1" applyBorder="1"/>
    <xf numFmtId="0" fontId="20" fillId="0" borderId="6" xfId="1" applyFont="1" applyBorder="1" applyAlignment="1">
      <alignment horizontal="left"/>
    </xf>
    <xf numFmtId="0" fontId="13" fillId="0" borderId="0" xfId="0" applyFont="1" applyAlignment="1"/>
    <xf numFmtId="0" fontId="20" fillId="0" borderId="0" xfId="1" applyFon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Payback!$J$15:$J$45</c:f>
              <c:numCache>
                <c:formatCode>0.00</c:formatCode>
                <c:ptCount val="31"/>
                <c:pt idx="0">
                  <c:v>-26413.91</c:v>
                </c:pt>
                <c:pt idx="1">
                  <c:v>-21239.037406007359</c:v>
                </c:pt>
                <c:pt idx="2">
                  <c:v>-15914.093506788933</c:v>
                </c:pt>
                <c:pt idx="3">
                  <c:v>-10368.544788888601</c:v>
                </c:pt>
                <c:pt idx="4">
                  <c:v>-4593.6431301862185</c:v>
                </c:pt>
                <c:pt idx="5">
                  <c:v>1419.6828916036693</c:v>
                </c:pt>
                <c:pt idx="6">
                  <c:v>7680.8384586430575</c:v>
                </c:pt>
                <c:pt idx="7">
                  <c:v>14199.573210402421</c:v>
                </c:pt>
                <c:pt idx="8">
                  <c:v>20985.992176436157</c:v>
                </c:pt>
                <c:pt idx="9">
                  <c:v>28050.566941292309</c:v>
                </c:pt>
                <c:pt idx="10">
                  <c:v>35404.14703743803</c:v>
                </c:pt>
                <c:pt idx="11">
                  <c:v>43057.97156109014</c:v>
                </c:pt>
                <c:pt idx="12">
                  <c:v>51023.68100475891</c:v>
                </c:pt>
                <c:pt idx="13">
                  <c:v>59313.32929913688</c:v>
                </c:pt>
                <c:pt idx="14">
                  <c:v>67939.396055685793</c:v>
                </c:pt>
                <c:pt idx="15">
                  <c:v>70503.796896886081</c:v>
                </c:pt>
                <c:pt idx="16">
                  <c:v>79841.904480613011</c:v>
                </c:pt>
                <c:pt idx="17">
                  <c:v>89556.548660457964</c:v>
                </c:pt>
                <c:pt idx="18">
                  <c:v>99662.037827073436</c:v>
                </c:pt>
                <c:pt idx="19">
                  <c:v>110173.16986868685</c:v>
                </c:pt>
                <c:pt idx="20">
                  <c:v>121105.24534988146</c:v>
                </c:pt>
                <c:pt idx="21">
                  <c:v>132474.08078451134</c:v>
                </c:pt>
                <c:pt idx="22">
                  <c:v>144296.02197921707</c:v>
                </c:pt>
                <c:pt idx="23">
                  <c:v>156587.95742141965</c:v>
                </c:pt>
                <c:pt idx="24">
                  <c:v>169367.33168288198</c:v>
                </c:pt>
                <c:pt idx="25">
                  <c:v>182652.15880692453</c:v>
                </c:pt>
                <c:pt idx="26">
                  <c:v>196461.03564415168</c:v>
                </c:pt>
                <c:pt idx="27">
                  <c:v>210813.15509807179</c:v>
                </c:pt>
                <c:pt idx="28">
                  <c:v>225728.31923826106</c:v>
                </c:pt>
                <c:pt idx="29">
                  <c:v>241226.95223471161</c:v>
                </c:pt>
                <c:pt idx="30">
                  <c:v>245827.85532842233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Payback!$L$15:$L$45</c:f>
              <c:numCache>
                <c:formatCode>0.00</c:formatCode>
                <c:ptCount val="31"/>
                <c:pt idx="0">
                  <c:v>-26413.91</c:v>
                </c:pt>
                <c:pt idx="1">
                  <c:v>-21709.4803690976</c:v>
                </c:pt>
                <c:pt idx="2">
                  <c:v>-17308.700287098902</c:v>
                </c:pt>
                <c:pt idx="3">
                  <c:v>-13142.247456219615</c:v>
                </c:pt>
                <c:pt idx="4">
                  <c:v>-9197.9119199158231</c:v>
                </c:pt>
                <c:pt idx="5">
                  <c:v>-5464.1095704800009</c:v>
                </c:pt>
                <c:pt idx="6">
                  <c:v>-1929.8504808751918</c:v>
                </c:pt>
                <c:pt idx="7">
                  <c:v>1415.2911775827542</c:v>
                </c:pt>
                <c:pt idx="8">
                  <c:v>4581.2057104327996</c:v>
                </c:pt>
                <c:pt idx="9">
                  <c:v>7577.2750430226497</c:v>
                </c:pt>
                <c:pt idx="10">
                  <c:v>10412.398502374203</c:v>
                </c:pt>
                <c:pt idx="11">
                  <c:v>13095.01730561534</c:v>
                </c:pt>
                <c:pt idx="12">
                  <c:v>15633.137819294629</c:v>
                </c:pt>
                <c:pt idx="13">
                  <c:v>18034.353650720914</c:v>
                </c:pt>
                <c:pt idx="14">
                  <c:v>20305.866629450917</c:v>
                </c:pt>
                <c:pt idx="15">
                  <c:v>20919.76380222986</c:v>
                </c:pt>
                <c:pt idx="16">
                  <c:v>22952.008085591784</c:v>
                </c:pt>
                <c:pt idx="17">
                  <c:v>24873.998646835833</c:v>
                </c:pt>
                <c:pt idx="18">
                  <c:v>26691.55969978396</c:v>
                </c:pt>
                <c:pt idx="19">
                  <c:v>28410.213781220824</c:v>
                </c:pt>
                <c:pt idx="20">
                  <c:v>30035.197142579374</c:v>
                </c:pt>
                <c:pt idx="21">
                  <c:v>31571.474365681945</c:v>
                </c:pt>
                <c:pt idx="22">
                  <c:v>33023.75224127627</c:v>
                </c:pt>
                <c:pt idx="23">
                  <c:v>34396.492947187275</c:v>
                </c:pt>
                <c:pt idx="24">
                  <c:v>35693.926561081214</c:v>
                </c:pt>
                <c:pt idx="25">
                  <c:v>36920.062941104457</c:v>
                </c:pt>
                <c:pt idx="26">
                  <c:v>38078.703006009928</c:v>
                </c:pt>
                <c:pt idx="27">
                  <c:v>39173.44944481655</c:v>
                </c:pt>
                <c:pt idx="28">
                  <c:v>40207.716884556234</c:v>
                </c:pt>
                <c:pt idx="29">
                  <c:v>41184.741543245793</c:v>
                </c:pt>
                <c:pt idx="30">
                  <c:v>41448.412643425225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634424</xdr:colOff>
      <xdr:row>43</xdr:row>
      <xdr:rowOff>169141</xdr:rowOff>
    </xdr:from>
    <xdr:to>
      <xdr:col>17</xdr:col>
      <xdr:colOff>96983</xdr:colOff>
      <xdr:row>67</xdr:row>
      <xdr:rowOff>66387</xdr:rowOff>
    </xdr:to>
    <xdr:pic>
      <xdr:nvPicPr>
        <xdr:cNvPr id="2" name="Imagem 5">
          <a:extLst>
            <a:ext uri="{FF2B5EF4-FFF2-40B4-BE49-F238E27FC236}">
              <a16:creationId xmlns:a16="http://schemas.microsoft.com/office/drawing/2014/main" id="{0E1A325B-C021-4831-8366-67CA9647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606" y="8701232"/>
          <a:ext cx="5385377" cy="4399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13</xdr:row>
      <xdr:rowOff>0</xdr:rowOff>
    </xdr:from>
    <xdr:to>
      <xdr:col>22</xdr:col>
      <xdr:colOff>127000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43</xdr:row>
      <xdr:rowOff>101600</xdr:rowOff>
    </xdr:from>
    <xdr:to>
      <xdr:col>22</xdr:col>
      <xdr:colOff>152400</xdr:colOff>
      <xdr:row>73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stitutosolar.com/como-calcular-o-valor-do-fio-b-para-energia-sola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V77"/>
  <sheetViews>
    <sheetView tabSelected="1" topLeftCell="B4" zoomScale="70" zoomScaleNormal="70" workbookViewId="0">
      <selection activeCell="F19" sqref="F19:Q19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4" x14ac:dyDescent="0.35">
      <c r="A1" s="76" t="s">
        <v>0</v>
      </c>
      <c r="B1" s="76"/>
      <c r="C1" s="76"/>
      <c r="D1" s="76"/>
      <c r="E1" s="76"/>
    </row>
    <row r="3" spans="1:14" x14ac:dyDescent="0.35">
      <c r="A3" s="50" t="s">
        <v>103</v>
      </c>
      <c r="B3" s="51"/>
      <c r="C3" s="51"/>
      <c r="D3" s="51"/>
      <c r="E3" s="51"/>
      <c r="F3" s="51"/>
      <c r="G3" s="51"/>
      <c r="H3" s="51"/>
      <c r="I3" s="52"/>
      <c r="J3" s="53"/>
      <c r="K3" s="49"/>
    </row>
    <row r="4" spans="1:14" ht="15" thickBot="1" x14ac:dyDescent="0.4"/>
    <row r="5" spans="1:14" ht="15" thickBot="1" x14ac:dyDescent="0.4">
      <c r="C5" s="7" t="s">
        <v>105</v>
      </c>
      <c r="G5" s="11" t="s">
        <v>3</v>
      </c>
      <c r="H5" s="88" t="s">
        <v>1</v>
      </c>
      <c r="I5" s="89"/>
      <c r="J5" s="12"/>
    </row>
    <row r="6" spans="1:14" ht="15" thickBot="1" x14ac:dyDescent="0.4">
      <c r="A6" s="104" t="s">
        <v>29</v>
      </c>
      <c r="B6" s="104"/>
      <c r="C6" s="104"/>
      <c r="D6" s="104"/>
      <c r="E6" s="104"/>
      <c r="F6" s="104"/>
      <c r="H6" s="88" t="s">
        <v>2</v>
      </c>
      <c r="I6" s="92"/>
      <c r="J6" s="13"/>
    </row>
    <row r="7" spans="1:14" ht="15" thickBot="1" x14ac:dyDescent="0.4">
      <c r="A7" s="14" t="s">
        <v>27</v>
      </c>
      <c r="B7" s="15"/>
      <c r="C7" s="15"/>
      <c r="D7" s="15"/>
      <c r="E7" s="65" t="s">
        <v>151</v>
      </c>
      <c r="F7" s="16" t="s">
        <v>39</v>
      </c>
      <c r="H7" s="8"/>
      <c r="I7" s="8"/>
      <c r="J7" s="8"/>
      <c r="L7" s="105" t="s">
        <v>153</v>
      </c>
      <c r="M7" s="106"/>
      <c r="N7" s="107"/>
    </row>
    <row r="8" spans="1:14" ht="15" thickBot="1" x14ac:dyDescent="0.4">
      <c r="A8" s="14" t="s">
        <v>28</v>
      </c>
      <c r="B8" s="15"/>
      <c r="C8" s="15"/>
      <c r="D8" s="15"/>
      <c r="E8" s="66" t="s">
        <v>152</v>
      </c>
      <c r="F8" s="7"/>
      <c r="H8" s="8"/>
      <c r="I8" s="8"/>
      <c r="J8" s="8"/>
      <c r="L8" s="108" t="s">
        <v>154</v>
      </c>
      <c r="M8" s="109"/>
      <c r="N8" s="110"/>
    </row>
    <row r="9" spans="1:14" ht="26.5" customHeight="1" thickBot="1" x14ac:dyDescent="0.4">
      <c r="A9" s="102" t="s">
        <v>4</v>
      </c>
      <c r="B9" s="102"/>
      <c r="C9" s="102"/>
      <c r="D9" s="103"/>
      <c r="E9" s="67" t="s">
        <v>14</v>
      </c>
      <c r="F9" s="7"/>
    </row>
    <row r="10" spans="1:14" ht="15" thickBot="1" x14ac:dyDescent="0.4">
      <c r="A10" s="77" t="s">
        <v>5</v>
      </c>
      <c r="B10" s="77"/>
      <c r="C10" s="77"/>
      <c r="D10" s="78"/>
      <c r="E10" s="65">
        <v>5</v>
      </c>
      <c r="F10" s="74" t="s">
        <v>117</v>
      </c>
      <c r="G10" s="87"/>
      <c r="H10" s="61" t="s">
        <v>26</v>
      </c>
      <c r="I10" s="62"/>
      <c r="J10" s="63"/>
      <c r="K10" s="93" t="s">
        <v>35</v>
      </c>
      <c r="L10" s="94"/>
      <c r="M10" s="95"/>
    </row>
    <row r="11" spans="1:14" ht="15" thickBot="1" x14ac:dyDescent="0.4">
      <c r="A11" s="77" t="s">
        <v>6</v>
      </c>
      <c r="B11" s="77"/>
      <c r="C11" s="77"/>
      <c r="D11" s="78"/>
      <c r="E11" s="65">
        <v>23</v>
      </c>
      <c r="F11" s="79" t="s">
        <v>118</v>
      </c>
      <c r="G11" s="80"/>
      <c r="H11" s="80"/>
      <c r="I11" s="80"/>
      <c r="J11" s="81"/>
      <c r="K11" s="96" t="s">
        <v>36</v>
      </c>
      <c r="L11" s="97"/>
      <c r="M11" s="98"/>
    </row>
    <row r="12" spans="1:14" ht="15" thickBot="1" x14ac:dyDescent="0.4">
      <c r="A12" s="77" t="s">
        <v>7</v>
      </c>
      <c r="B12" s="77"/>
      <c r="C12" s="77"/>
      <c r="D12" s="78"/>
      <c r="E12" s="65">
        <v>48</v>
      </c>
      <c r="F12" s="82" t="s">
        <v>119</v>
      </c>
      <c r="G12" s="83"/>
      <c r="H12" s="83"/>
      <c r="I12" s="83"/>
      <c r="J12" s="84"/>
      <c r="K12" s="99" t="s">
        <v>37</v>
      </c>
      <c r="L12" s="100"/>
      <c r="M12" s="101"/>
    </row>
    <row r="13" spans="1:14" ht="15" thickBot="1" x14ac:dyDescent="0.4">
      <c r="A13" s="77" t="s">
        <v>38</v>
      </c>
      <c r="B13" s="77"/>
      <c r="C13" s="77"/>
      <c r="D13" s="78"/>
      <c r="E13" s="65">
        <v>5.21</v>
      </c>
      <c r="F13" s="85" t="s">
        <v>106</v>
      </c>
      <c r="G13" s="86"/>
      <c r="H13" s="86"/>
      <c r="I13" s="86"/>
      <c r="J13" s="86"/>
    </row>
    <row r="14" spans="1:14" ht="15" thickBot="1" x14ac:dyDescent="0.4">
      <c r="A14" s="77" t="s">
        <v>31</v>
      </c>
      <c r="B14" s="77"/>
      <c r="C14" s="77"/>
      <c r="D14" s="78"/>
      <c r="E14" s="65">
        <v>0.44924999999999998</v>
      </c>
      <c r="F14" s="7" t="s">
        <v>155</v>
      </c>
    </row>
    <row r="15" spans="1:14" ht="15" thickBot="1" x14ac:dyDescent="0.4">
      <c r="A15" s="77" t="s">
        <v>32</v>
      </c>
      <c r="B15" s="77"/>
      <c r="C15" s="77"/>
      <c r="D15" s="78"/>
      <c r="E15" s="65">
        <v>0.30904999999999999</v>
      </c>
      <c r="F15" s="7" t="s">
        <v>107</v>
      </c>
    </row>
    <row r="16" spans="1:14" ht="15" thickBot="1" x14ac:dyDescent="0.4">
      <c r="A16" s="18" t="s">
        <v>33</v>
      </c>
      <c r="B16" s="19"/>
      <c r="C16" s="19"/>
      <c r="D16" s="19"/>
      <c r="E16" s="65"/>
      <c r="F16" s="20" t="s">
        <v>108</v>
      </c>
      <c r="G16" s="20"/>
      <c r="H16" s="20"/>
      <c r="I16" s="20"/>
      <c r="J16" s="20"/>
    </row>
    <row r="17" spans="1:22" ht="15" thickBot="1" x14ac:dyDescent="0.4">
      <c r="A17" s="18" t="s">
        <v>34</v>
      </c>
      <c r="B17" s="19"/>
      <c r="C17" s="19"/>
      <c r="D17" s="19"/>
      <c r="E17" s="65"/>
      <c r="F17" s="90" t="s">
        <v>109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</row>
    <row r="18" spans="1:22" ht="15" thickBot="1" x14ac:dyDescent="0.4">
      <c r="A18" s="18" t="s">
        <v>149</v>
      </c>
      <c r="B18" s="19"/>
      <c r="C18" s="19"/>
      <c r="D18" s="19"/>
      <c r="E18" s="65"/>
      <c r="F18" s="47"/>
      <c r="G18" s="20"/>
      <c r="H18" s="20"/>
      <c r="I18" s="20"/>
      <c r="J18" s="20"/>
    </row>
    <row r="19" spans="1:22" ht="15" thickBot="1" x14ac:dyDescent="0.4">
      <c r="A19" s="77" t="s">
        <v>104</v>
      </c>
      <c r="B19" s="77"/>
      <c r="C19" s="77"/>
      <c r="D19" s="78"/>
      <c r="E19" s="65">
        <v>0.18801000000000001</v>
      </c>
      <c r="F19" s="144" t="s">
        <v>162</v>
      </c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5"/>
      <c r="S19" s="145"/>
      <c r="T19" s="145"/>
      <c r="U19" s="145"/>
      <c r="V19" s="145"/>
    </row>
    <row r="20" spans="1:22" ht="15" thickBot="1" x14ac:dyDescent="0.4">
      <c r="A20" s="78" t="s">
        <v>147</v>
      </c>
      <c r="B20" s="111"/>
      <c r="C20" s="111"/>
      <c r="D20" s="112"/>
      <c r="E20" s="68">
        <v>0.9</v>
      </c>
      <c r="F20" s="16" t="s">
        <v>148</v>
      </c>
    </row>
    <row r="21" spans="1:22" ht="15" thickBot="1" x14ac:dyDescent="0.4">
      <c r="A21" s="77" t="s">
        <v>8</v>
      </c>
      <c r="B21" s="77"/>
      <c r="C21" s="77"/>
      <c r="D21" s="78"/>
      <c r="E21" s="65">
        <v>641</v>
      </c>
      <c r="F21" s="7" t="s">
        <v>120</v>
      </c>
    </row>
    <row r="22" spans="1:22" ht="15" thickBot="1" x14ac:dyDescent="0.4">
      <c r="A22" s="77" t="s">
        <v>9</v>
      </c>
      <c r="B22" s="77"/>
      <c r="C22" s="77"/>
      <c r="D22" s="78"/>
      <c r="E22" s="65">
        <v>0.8</v>
      </c>
      <c r="F22" s="7" t="s">
        <v>15</v>
      </c>
    </row>
    <row r="23" spans="1:22" ht="15" thickBot="1" x14ac:dyDescent="0.4">
      <c r="A23" s="77" t="s">
        <v>75</v>
      </c>
      <c r="B23" s="77"/>
      <c r="C23" s="77"/>
      <c r="D23" s="78"/>
      <c r="E23" s="65">
        <v>550</v>
      </c>
      <c r="F23" s="7" t="s">
        <v>110</v>
      </c>
    </row>
    <row r="24" spans="1:22" ht="15" thickBot="1" x14ac:dyDescent="0.4">
      <c r="A24" s="77" t="s">
        <v>10</v>
      </c>
      <c r="B24" s="77"/>
      <c r="C24" s="77"/>
      <c r="D24" s="78"/>
      <c r="E24" s="65">
        <v>1.1499999999999999</v>
      </c>
      <c r="F24" s="7" t="s">
        <v>111</v>
      </c>
    </row>
    <row r="25" spans="1:22" ht="15" thickBot="1" x14ac:dyDescent="0.4">
      <c r="A25" s="77" t="s">
        <v>11</v>
      </c>
      <c r="B25" s="77"/>
      <c r="C25" s="77"/>
      <c r="D25" s="78"/>
      <c r="E25" s="65">
        <v>49.6</v>
      </c>
      <c r="F25" s="7" t="s">
        <v>112</v>
      </c>
    </row>
    <row r="26" spans="1:22" ht="15" thickBot="1" x14ac:dyDescent="0.4">
      <c r="A26" s="17" t="s">
        <v>13</v>
      </c>
      <c r="B26" s="17"/>
      <c r="C26" s="17"/>
      <c r="D26" s="18"/>
      <c r="E26" s="65">
        <v>-2.8999999999999998E-3</v>
      </c>
      <c r="F26" s="7" t="s">
        <v>113</v>
      </c>
    </row>
    <row r="27" spans="1:22" ht="15" thickBot="1" x14ac:dyDescent="0.4">
      <c r="A27" s="77" t="s">
        <v>12</v>
      </c>
      <c r="B27" s="77"/>
      <c r="C27" s="77"/>
      <c r="D27" s="78"/>
      <c r="E27" s="65">
        <v>2</v>
      </c>
      <c r="F27" s="7" t="s">
        <v>114</v>
      </c>
    </row>
    <row r="29" spans="1:22" ht="15" thickBot="1" x14ac:dyDescent="0.4">
      <c r="A29" s="104" t="s">
        <v>30</v>
      </c>
      <c r="B29" s="104"/>
      <c r="C29" s="104"/>
      <c r="D29" s="104"/>
      <c r="E29" s="104"/>
      <c r="F29" s="104"/>
    </row>
    <row r="30" spans="1:22" ht="15" thickBot="1" x14ac:dyDescent="0.4">
      <c r="A30" s="77" t="s">
        <v>16</v>
      </c>
      <c r="B30" s="77"/>
      <c r="C30" s="77"/>
      <c r="D30" s="78"/>
      <c r="E30" s="69">
        <f>E21</f>
        <v>641</v>
      </c>
      <c r="F30" s="7" t="s">
        <v>25</v>
      </c>
    </row>
    <row r="31" spans="1:22" ht="15" thickBot="1" x14ac:dyDescent="0.4">
      <c r="A31" s="77" t="s">
        <v>40</v>
      </c>
      <c r="B31" s="77"/>
      <c r="C31" s="77"/>
      <c r="D31" s="78"/>
      <c r="E31" s="69">
        <f>(E14+E15)</f>
        <v>0.75829999999999997</v>
      </c>
      <c r="F31" s="7" t="s">
        <v>121</v>
      </c>
    </row>
    <row r="32" spans="1:22" ht="15" thickBot="1" x14ac:dyDescent="0.4">
      <c r="A32" s="77" t="s">
        <v>42</v>
      </c>
      <c r="B32" s="77"/>
      <c r="C32" s="77"/>
      <c r="D32" s="78"/>
      <c r="E32" s="69">
        <f>$E$14+$E$15-$E$19*Payback!$P$6</f>
        <v>0.58909099999999992</v>
      </c>
      <c r="F32" s="7" t="s">
        <v>121</v>
      </c>
    </row>
    <row r="33" spans="1:10" ht="15" thickBot="1" x14ac:dyDescent="0.4">
      <c r="A33" s="78" t="s">
        <v>41</v>
      </c>
      <c r="B33" s="111"/>
      <c r="C33" s="111"/>
      <c r="D33" s="111"/>
      <c r="E33" s="69">
        <f>E16+E17</f>
        <v>0</v>
      </c>
      <c r="F33" s="7" t="s">
        <v>121</v>
      </c>
    </row>
    <row r="34" spans="1:10" ht="15" thickBot="1" x14ac:dyDescent="0.4">
      <c r="A34" s="78" t="s">
        <v>146</v>
      </c>
      <c r="B34" s="111"/>
      <c r="C34" s="111"/>
      <c r="D34" s="112"/>
      <c r="E34" s="69">
        <f>$E$16+$E$17-$E$19*$E$20</f>
        <v>-0.16920900000000003</v>
      </c>
      <c r="F34" s="7" t="s">
        <v>161</v>
      </c>
    </row>
    <row r="35" spans="1:10" ht="15" thickBot="1" x14ac:dyDescent="0.4">
      <c r="A35" s="17" t="s">
        <v>150</v>
      </c>
      <c r="B35" s="17"/>
      <c r="C35" s="17"/>
      <c r="D35" s="18"/>
      <c r="E35" s="69">
        <f>E40*(1-Payback!E5)</f>
        <v>3347.8260869565215</v>
      </c>
      <c r="F35" s="7" t="s">
        <v>158</v>
      </c>
    </row>
    <row r="36" spans="1:10" ht="15" thickBot="1" x14ac:dyDescent="0.4">
      <c r="A36" s="77" t="s">
        <v>19</v>
      </c>
      <c r="B36" s="77"/>
      <c r="C36" s="77"/>
      <c r="D36" s="78"/>
      <c r="E36" s="69">
        <f>E30*1000/(30*E22*E13)</f>
        <v>5126.35956493922</v>
      </c>
      <c r="F36" s="74" t="s">
        <v>116</v>
      </c>
      <c r="G36" s="75"/>
      <c r="H36" s="75"/>
      <c r="I36" s="75"/>
      <c r="J36" s="75"/>
    </row>
    <row r="37" spans="1:10" ht="15" thickBot="1" x14ac:dyDescent="0.4">
      <c r="A37" s="77" t="s">
        <v>17</v>
      </c>
      <c r="B37" s="77"/>
      <c r="C37" s="77"/>
      <c r="D37" s="78"/>
      <c r="E37" s="69">
        <f>ROUNDUP(E36/E23,0)</f>
        <v>10</v>
      </c>
      <c r="F37" s="7" t="s">
        <v>115</v>
      </c>
    </row>
    <row r="38" spans="1:10" ht="15" thickBot="1" x14ac:dyDescent="0.4">
      <c r="A38" s="77" t="s">
        <v>18</v>
      </c>
      <c r="B38" s="77"/>
      <c r="C38" s="77"/>
      <c r="D38" s="78"/>
      <c r="E38" s="69">
        <f>ROUND(E37/E27,0)</f>
        <v>5</v>
      </c>
      <c r="F38" s="7"/>
    </row>
    <row r="39" spans="1:10" ht="15" thickBot="1" x14ac:dyDescent="0.4">
      <c r="A39" s="77" t="s">
        <v>20</v>
      </c>
      <c r="B39" s="77"/>
      <c r="C39" s="77"/>
      <c r="D39" s="78"/>
      <c r="E39" s="69">
        <f>E37*E23</f>
        <v>5500</v>
      </c>
      <c r="F39" s="7" t="s">
        <v>122</v>
      </c>
    </row>
    <row r="40" spans="1:10" ht="15" thickBot="1" x14ac:dyDescent="0.4">
      <c r="A40" s="77" t="s">
        <v>21</v>
      </c>
      <c r="B40" s="77"/>
      <c r="C40" s="77"/>
      <c r="D40" s="78"/>
      <c r="E40" s="69">
        <f>E39/E24</f>
        <v>4782.608695652174</v>
      </c>
      <c r="F40" s="16" t="s">
        <v>157</v>
      </c>
    </row>
    <row r="41" spans="1:10" ht="15" thickBot="1" x14ac:dyDescent="0.4">
      <c r="A41" s="77" t="s">
        <v>22</v>
      </c>
      <c r="B41" s="77"/>
      <c r="C41" s="77"/>
      <c r="D41" s="78"/>
      <c r="E41" s="69">
        <f>30*E13*E22*E39/1000</f>
        <v>687.72000000000014</v>
      </c>
      <c r="F41" s="7" t="s">
        <v>123</v>
      </c>
    </row>
    <row r="42" spans="1:10" ht="15" thickBot="1" x14ac:dyDescent="0.4">
      <c r="A42" s="77" t="s">
        <v>23</v>
      </c>
      <c r="B42" s="77"/>
      <c r="C42" s="77"/>
      <c r="D42" s="78"/>
      <c r="E42" s="69">
        <f>E25*(1+(E10-25)*E26)*E38</f>
        <v>262.38400000000001</v>
      </c>
      <c r="F42" s="7" t="s">
        <v>124</v>
      </c>
    </row>
    <row r="43" spans="1:10" ht="15" thickBot="1" x14ac:dyDescent="0.4">
      <c r="A43" s="77" t="s">
        <v>24</v>
      </c>
      <c r="B43" s="77"/>
      <c r="C43" s="77"/>
      <c r="D43" s="78"/>
      <c r="E43" s="69">
        <f>IF(E11&lt;10,10,IF(E11&lt;=20,E11,IF(E11&lt;=30,E11+5,IF(E11&lt;=40,E11+10,E11+15))))</f>
        <v>28</v>
      </c>
      <c r="F43" s="7" t="s">
        <v>156</v>
      </c>
    </row>
    <row r="45" spans="1:10" x14ac:dyDescent="0.35">
      <c r="A45" s="129" t="s">
        <v>43</v>
      </c>
      <c r="B45" s="129"/>
      <c r="C45" s="129"/>
      <c r="D45" s="129"/>
      <c r="E45" s="129"/>
      <c r="F45" s="129"/>
      <c r="G45" s="129"/>
    </row>
    <row r="46" spans="1:10" x14ac:dyDescent="0.35">
      <c r="A46" s="116" t="s">
        <v>44</v>
      </c>
      <c r="B46" s="116"/>
      <c r="C46" s="116"/>
      <c r="D46" s="116"/>
      <c r="E46" s="21" t="s">
        <v>57</v>
      </c>
      <c r="F46" s="21" t="s">
        <v>59</v>
      </c>
      <c r="G46" s="21" t="s">
        <v>58</v>
      </c>
    </row>
    <row r="47" spans="1:10" x14ac:dyDescent="0.35">
      <c r="A47" s="114" t="s">
        <v>45</v>
      </c>
      <c r="B47" s="114"/>
      <c r="C47" s="114"/>
      <c r="D47" s="115"/>
      <c r="E47" s="22"/>
      <c r="F47" s="22"/>
      <c r="G47" s="23">
        <f>E47*F47</f>
        <v>0</v>
      </c>
    </row>
    <row r="48" spans="1:10" x14ac:dyDescent="0.35">
      <c r="A48" s="114" t="s">
        <v>46</v>
      </c>
      <c r="B48" s="114"/>
      <c r="C48" s="114"/>
      <c r="D48" s="115"/>
      <c r="E48" s="22"/>
      <c r="F48" s="22"/>
      <c r="G48" s="23">
        <f t="shared" ref="G48:G62" si="0">E48*F48</f>
        <v>0</v>
      </c>
    </row>
    <row r="49" spans="1:8" x14ac:dyDescent="0.35">
      <c r="A49" s="114" t="s">
        <v>47</v>
      </c>
      <c r="B49" s="114"/>
      <c r="C49" s="114"/>
      <c r="D49" s="115"/>
      <c r="E49" s="22"/>
      <c r="F49" s="22"/>
      <c r="G49" s="23">
        <f t="shared" si="0"/>
        <v>0</v>
      </c>
    </row>
    <row r="50" spans="1:8" x14ac:dyDescent="0.35">
      <c r="A50" s="114" t="s">
        <v>48</v>
      </c>
      <c r="B50" s="114"/>
      <c r="C50" s="114"/>
      <c r="D50" s="115"/>
      <c r="E50" s="22"/>
      <c r="F50" s="22"/>
      <c r="G50" s="23">
        <f t="shared" si="0"/>
        <v>0</v>
      </c>
    </row>
    <row r="51" spans="1:8" x14ac:dyDescent="0.35">
      <c r="A51" s="114" t="s">
        <v>49</v>
      </c>
      <c r="B51" s="114"/>
      <c r="C51" s="114"/>
      <c r="D51" s="115"/>
      <c r="E51" s="22"/>
      <c r="F51" s="22"/>
      <c r="G51" s="23">
        <f t="shared" si="0"/>
        <v>0</v>
      </c>
    </row>
    <row r="52" spans="1:8" x14ac:dyDescent="0.35">
      <c r="A52" s="114" t="s">
        <v>49</v>
      </c>
      <c r="B52" s="114"/>
      <c r="C52" s="114"/>
      <c r="D52" s="115"/>
      <c r="E52" s="22"/>
      <c r="F52" s="22"/>
      <c r="G52" s="23">
        <f t="shared" si="0"/>
        <v>0</v>
      </c>
    </row>
    <row r="53" spans="1:8" x14ac:dyDescent="0.35">
      <c r="A53" s="114" t="s">
        <v>49</v>
      </c>
      <c r="B53" s="114"/>
      <c r="C53" s="114"/>
      <c r="D53" s="115"/>
      <c r="E53" s="22"/>
      <c r="F53" s="22"/>
      <c r="G53" s="23">
        <f t="shared" si="0"/>
        <v>0</v>
      </c>
    </row>
    <row r="54" spans="1:8" x14ac:dyDescent="0.35">
      <c r="A54" s="114" t="s">
        <v>50</v>
      </c>
      <c r="B54" s="114"/>
      <c r="C54" s="114"/>
      <c r="D54" s="115"/>
      <c r="E54" s="22"/>
      <c r="F54" s="22"/>
      <c r="G54" s="23">
        <f t="shared" si="0"/>
        <v>0</v>
      </c>
    </row>
    <row r="55" spans="1:8" x14ac:dyDescent="0.35">
      <c r="A55" s="114" t="s">
        <v>51</v>
      </c>
      <c r="B55" s="114"/>
      <c r="C55" s="114"/>
      <c r="D55" s="115"/>
      <c r="E55" s="22"/>
      <c r="F55" s="22"/>
      <c r="G55" s="23">
        <f t="shared" si="0"/>
        <v>0</v>
      </c>
    </row>
    <row r="56" spans="1:8" x14ac:dyDescent="0.35">
      <c r="A56" s="114" t="s">
        <v>52</v>
      </c>
      <c r="B56" s="114"/>
      <c r="C56" s="114"/>
      <c r="D56" s="115"/>
      <c r="E56" s="22"/>
      <c r="F56" s="22"/>
      <c r="G56" s="23">
        <f t="shared" si="0"/>
        <v>0</v>
      </c>
    </row>
    <row r="57" spans="1:8" x14ac:dyDescent="0.35">
      <c r="A57" s="114" t="s">
        <v>53</v>
      </c>
      <c r="B57" s="114"/>
      <c r="C57" s="114"/>
      <c r="D57" s="115"/>
      <c r="E57" s="22"/>
      <c r="F57" s="22"/>
      <c r="G57" s="23">
        <f t="shared" si="0"/>
        <v>0</v>
      </c>
    </row>
    <row r="58" spans="1:8" x14ac:dyDescent="0.35">
      <c r="A58" s="114" t="s">
        <v>54</v>
      </c>
      <c r="B58" s="114"/>
      <c r="C58" s="114"/>
      <c r="D58" s="115"/>
      <c r="E58" s="22"/>
      <c r="F58" s="22"/>
      <c r="G58" s="23">
        <f t="shared" si="0"/>
        <v>0</v>
      </c>
    </row>
    <row r="59" spans="1:8" x14ac:dyDescent="0.35">
      <c r="A59" s="114" t="s">
        <v>73</v>
      </c>
      <c r="B59" s="114"/>
      <c r="C59" s="114"/>
      <c r="D59" s="115"/>
      <c r="E59" s="22"/>
      <c r="F59" s="22"/>
      <c r="G59" s="23">
        <f t="shared" si="0"/>
        <v>0</v>
      </c>
    </row>
    <row r="60" spans="1:8" x14ac:dyDescent="0.35">
      <c r="A60" s="114" t="s">
        <v>74</v>
      </c>
      <c r="B60" s="114"/>
      <c r="C60" s="114"/>
      <c r="D60" s="115"/>
      <c r="E60" s="22"/>
      <c r="F60" s="22"/>
      <c r="G60" s="23">
        <f t="shared" si="0"/>
        <v>0</v>
      </c>
    </row>
    <row r="61" spans="1:8" x14ac:dyDescent="0.35">
      <c r="A61" s="114" t="s">
        <v>55</v>
      </c>
      <c r="B61" s="114"/>
      <c r="C61" s="114"/>
      <c r="D61" s="115"/>
      <c r="E61" s="22"/>
      <c r="F61" s="22"/>
      <c r="G61" s="23">
        <f t="shared" si="0"/>
        <v>0</v>
      </c>
    </row>
    <row r="62" spans="1:8" ht="15" thickBot="1" x14ac:dyDescent="0.4">
      <c r="A62" s="114" t="s">
        <v>56</v>
      </c>
      <c r="B62" s="114"/>
      <c r="C62" s="114"/>
      <c r="D62" s="115"/>
      <c r="E62" s="24"/>
      <c r="F62" s="24"/>
      <c r="G62" s="25">
        <f t="shared" si="0"/>
        <v>0</v>
      </c>
    </row>
    <row r="63" spans="1:8" ht="15" thickBot="1" x14ac:dyDescent="0.4">
      <c r="E63" s="26" t="s">
        <v>61</v>
      </c>
      <c r="F63" s="27"/>
      <c r="G63" s="44">
        <f>SUM(G47:G62)</f>
        <v>0</v>
      </c>
      <c r="H63" s="7" t="s">
        <v>125</v>
      </c>
    </row>
    <row r="64" spans="1:8" ht="15" thickBot="1" x14ac:dyDescent="0.4">
      <c r="E64" s="26" t="s">
        <v>62</v>
      </c>
      <c r="F64" s="27"/>
      <c r="G64" s="45">
        <v>18558.099999999999</v>
      </c>
      <c r="H64" s="7" t="s">
        <v>126</v>
      </c>
    </row>
    <row r="65" spans="1:8" ht="15" thickBot="1" x14ac:dyDescent="0.4">
      <c r="E65" s="26" t="s">
        <v>60</v>
      </c>
      <c r="F65" s="27"/>
      <c r="G65" s="46">
        <v>2</v>
      </c>
    </row>
    <row r="66" spans="1:8" ht="15" thickBot="1" x14ac:dyDescent="0.4"/>
    <row r="67" spans="1:8" ht="15" thickBot="1" x14ac:dyDescent="0.4">
      <c r="E67" s="121" t="s">
        <v>63</v>
      </c>
      <c r="F67" s="122"/>
      <c r="G67" s="125">
        <f>IF(G65=1,G63,G64)</f>
        <v>18558.099999999999</v>
      </c>
      <c r="H67" s="126"/>
    </row>
    <row r="68" spans="1:8" s="43" customFormat="1" ht="29" customHeight="1" thickBot="1" x14ac:dyDescent="0.4">
      <c r="E68" s="123" t="s">
        <v>101</v>
      </c>
      <c r="F68" s="124"/>
      <c r="G68" s="127">
        <f>0.1*G67</f>
        <v>1855.81</v>
      </c>
      <c r="H68" s="128"/>
    </row>
    <row r="69" spans="1:8" ht="15" thickBot="1" x14ac:dyDescent="0.4">
      <c r="E69" s="41" t="s">
        <v>64</v>
      </c>
      <c r="F69" s="42"/>
      <c r="G69" s="125">
        <v>2000</v>
      </c>
      <c r="H69" s="126"/>
    </row>
    <row r="70" spans="1:8" ht="15" thickBot="1" x14ac:dyDescent="0.4">
      <c r="E70" s="41" t="s">
        <v>65</v>
      </c>
      <c r="F70" s="42"/>
      <c r="G70" s="117">
        <v>4000</v>
      </c>
      <c r="H70" s="118"/>
    </row>
    <row r="71" spans="1:8" ht="15" thickBot="1" x14ac:dyDescent="0.4">
      <c r="E71" s="41" t="s">
        <v>66</v>
      </c>
      <c r="F71" s="42"/>
      <c r="G71" s="117">
        <v>0</v>
      </c>
      <c r="H71" s="118"/>
    </row>
    <row r="72" spans="1:8" ht="15" thickBot="1" x14ac:dyDescent="0.4">
      <c r="E72" s="41" t="s">
        <v>67</v>
      </c>
      <c r="F72" s="42"/>
      <c r="G72" s="117">
        <v>0</v>
      </c>
      <c r="H72" s="118"/>
    </row>
    <row r="73" spans="1:8" ht="15" thickBot="1" x14ac:dyDescent="0.4">
      <c r="A73" s="1" t="s">
        <v>69</v>
      </c>
      <c r="F73" s="28" t="s">
        <v>71</v>
      </c>
      <c r="G73" s="119">
        <f>SUM(G67:G70)</f>
        <v>26413.91</v>
      </c>
      <c r="H73" s="120"/>
    </row>
    <row r="74" spans="1:8" ht="15.5" x14ac:dyDescent="0.35">
      <c r="A74" s="113" t="s">
        <v>70</v>
      </c>
      <c r="B74" s="113"/>
      <c r="C74" s="113"/>
      <c r="D74" s="113"/>
      <c r="E74" s="113"/>
    </row>
    <row r="75" spans="1:8" x14ac:dyDescent="0.35">
      <c r="A75" s="29" t="s">
        <v>72</v>
      </c>
      <c r="D75" s="30">
        <f>G73/E39</f>
        <v>4.8025290909090907</v>
      </c>
      <c r="E75" s="31" t="s">
        <v>68</v>
      </c>
      <c r="F75" s="29" t="s">
        <v>127</v>
      </c>
    </row>
    <row r="77" spans="1:8" x14ac:dyDescent="0.35">
      <c r="A77" s="1" t="s">
        <v>160</v>
      </c>
    </row>
  </sheetData>
  <mergeCells count="73">
    <mergeCell ref="G72:H72"/>
    <mergeCell ref="G73:H73"/>
    <mergeCell ref="E67:F67"/>
    <mergeCell ref="E68:F68"/>
    <mergeCell ref="A20:D20"/>
    <mergeCell ref="G67:H67"/>
    <mergeCell ref="G68:H68"/>
    <mergeCell ref="G69:H69"/>
    <mergeCell ref="G70:H70"/>
    <mergeCell ref="G71:H71"/>
    <mergeCell ref="A32:D32"/>
    <mergeCell ref="A33:D33"/>
    <mergeCell ref="A45:G45"/>
    <mergeCell ref="A48:D48"/>
    <mergeCell ref="A49:D49"/>
    <mergeCell ref="A41:D41"/>
    <mergeCell ref="A74:E74"/>
    <mergeCell ref="A60:D60"/>
    <mergeCell ref="A61:D61"/>
    <mergeCell ref="A62:D62"/>
    <mergeCell ref="A46:D46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7:D47"/>
    <mergeCell ref="A42:D42"/>
    <mergeCell ref="A43:D43"/>
    <mergeCell ref="A34:D34"/>
    <mergeCell ref="A36:D36"/>
    <mergeCell ref="A37:D37"/>
    <mergeCell ref="A38:D38"/>
    <mergeCell ref="A39:D39"/>
    <mergeCell ref="A40:D40"/>
    <mergeCell ref="A6:F6"/>
    <mergeCell ref="L7:N7"/>
    <mergeCell ref="L8:N8"/>
    <mergeCell ref="A29:F29"/>
    <mergeCell ref="A30:D30"/>
    <mergeCell ref="A14:D14"/>
    <mergeCell ref="A15:D15"/>
    <mergeCell ref="A19:D19"/>
    <mergeCell ref="A21:D21"/>
    <mergeCell ref="A22:D22"/>
    <mergeCell ref="F19:Q19"/>
    <mergeCell ref="K10:M10"/>
    <mergeCell ref="K11:M11"/>
    <mergeCell ref="K12:M12"/>
    <mergeCell ref="A9:D9"/>
    <mergeCell ref="A10:D10"/>
    <mergeCell ref="A11:D11"/>
    <mergeCell ref="A12:D12"/>
    <mergeCell ref="F36:J36"/>
    <mergeCell ref="A1:E1"/>
    <mergeCell ref="A13:D13"/>
    <mergeCell ref="F11:J11"/>
    <mergeCell ref="F12:J12"/>
    <mergeCell ref="F13:J13"/>
    <mergeCell ref="F10:G10"/>
    <mergeCell ref="A31:D31"/>
    <mergeCell ref="A23:D23"/>
    <mergeCell ref="A24:D24"/>
    <mergeCell ref="A25:D25"/>
    <mergeCell ref="A27:D27"/>
    <mergeCell ref="H5:I5"/>
    <mergeCell ref="F17:R17"/>
    <mergeCell ref="H6:I6"/>
  </mergeCells>
  <hyperlinks>
    <hyperlink ref="F19" r:id="rId1" location=":~:text=Para%20se%20obter%20o%20valor,Tarifas%20%3E%3E%20Relat%C3%B3rios%20e%20Indicadores." xr:uid="{69D62B3B-95BD-4BDD-AB97-7CC97E99C2C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Q57"/>
  <sheetViews>
    <sheetView zoomScale="85" zoomScaleNormal="85" workbookViewId="0">
      <selection activeCell="J17" sqref="J17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7" ht="20.5" customHeight="1" thickBot="1" x14ac:dyDescent="0.4">
      <c r="B1" s="131" t="s">
        <v>83</v>
      </c>
      <c r="C1" s="131"/>
      <c r="D1" s="131"/>
    </row>
    <row r="2" spans="2:17" thickBot="1" x14ac:dyDescent="0.4">
      <c r="G2" s="88" t="s">
        <v>1</v>
      </c>
      <c r="H2" s="89"/>
      <c r="I2" s="12"/>
      <c r="O2" s="2" t="s">
        <v>139</v>
      </c>
    </row>
    <row r="3" spans="2:17" ht="15.5" thickTop="1" thickBot="1" x14ac:dyDescent="0.4">
      <c r="B3" s="2" t="s">
        <v>76</v>
      </c>
      <c r="E3" s="2" t="s">
        <v>84</v>
      </c>
      <c r="G3" s="88" t="s">
        <v>2</v>
      </c>
      <c r="H3" s="92"/>
      <c r="I3" s="13"/>
      <c r="O3" s="6" t="s">
        <v>135</v>
      </c>
      <c r="P3" s="54">
        <f>IF(Dimensionamento!$E$7="A",Dimensionamento!$E$17,Dimensionamento!$E$15)</f>
        <v>0.30904999999999999</v>
      </c>
    </row>
    <row r="4" spans="2:17" ht="15" customHeight="1" thickTop="1" thickBot="1" x14ac:dyDescent="0.4">
      <c r="B4" s="132" t="s">
        <v>77</v>
      </c>
      <c r="C4" s="133"/>
      <c r="D4" s="134"/>
      <c r="E4" s="64">
        <v>0.05</v>
      </c>
      <c r="F4" s="3" t="s">
        <v>85</v>
      </c>
      <c r="H4" s="3" t="s">
        <v>128</v>
      </c>
      <c r="O4" s="6" t="s">
        <v>136</v>
      </c>
      <c r="P4" s="54">
        <f>IF(Dimensionamento!$E$7="A",Dimensionamento!$E$16,Dimensionamento!$E$14)</f>
        <v>0.44924999999999998</v>
      </c>
    </row>
    <row r="5" spans="2:17" ht="15" customHeight="1" thickTop="1" thickBot="1" x14ac:dyDescent="0.4">
      <c r="B5" s="138" t="s">
        <v>97</v>
      </c>
      <c r="C5" s="139"/>
      <c r="D5" s="140"/>
      <c r="E5" s="64">
        <v>0.3</v>
      </c>
      <c r="F5" s="3" t="s">
        <v>129</v>
      </c>
      <c r="O5" s="6" t="s">
        <v>137</v>
      </c>
      <c r="P5" s="54">
        <f>Dimensionamento!E19</f>
        <v>0.18801000000000001</v>
      </c>
    </row>
    <row r="6" spans="2:17" ht="15.5" thickTop="1" thickBot="1" x14ac:dyDescent="0.4">
      <c r="B6" s="135" t="s">
        <v>96</v>
      </c>
      <c r="C6" s="136"/>
      <c r="D6" s="137"/>
      <c r="E6" s="64">
        <v>0.1</v>
      </c>
      <c r="F6" s="3" t="s">
        <v>85</v>
      </c>
      <c r="H6" s="3" t="s">
        <v>130</v>
      </c>
      <c r="O6" s="6" t="s">
        <v>140</v>
      </c>
      <c r="P6" s="60">
        <f>Dimensionamento!$E$20</f>
        <v>0.9</v>
      </c>
      <c r="Q6" s="3" t="s">
        <v>141</v>
      </c>
    </row>
    <row r="7" spans="2:17" thickBot="1" x14ac:dyDescent="0.4">
      <c r="B7" s="141" t="s">
        <v>78</v>
      </c>
      <c r="C7" s="142"/>
      <c r="D7" s="143"/>
      <c r="E7" s="55">
        <v>15</v>
      </c>
      <c r="F7" s="3" t="s">
        <v>86</v>
      </c>
      <c r="H7" s="3" t="s">
        <v>131</v>
      </c>
    </row>
    <row r="8" spans="2:17" thickBot="1" x14ac:dyDescent="0.4">
      <c r="B8" s="141" t="s">
        <v>79</v>
      </c>
      <c r="C8" s="142"/>
      <c r="D8" s="143"/>
      <c r="E8" s="64">
        <v>0.02</v>
      </c>
      <c r="F8" s="4" t="s">
        <v>159</v>
      </c>
    </row>
    <row r="9" spans="2:17" thickBot="1" x14ac:dyDescent="0.4">
      <c r="B9" s="132" t="s">
        <v>80</v>
      </c>
      <c r="C9" s="133"/>
      <c r="D9" s="134"/>
      <c r="E9" s="64">
        <v>0.7</v>
      </c>
      <c r="F9" s="5" t="s">
        <v>132</v>
      </c>
    </row>
    <row r="10" spans="2:17" thickBot="1" x14ac:dyDescent="0.4">
      <c r="B10" s="135" t="s">
        <v>81</v>
      </c>
      <c r="C10" s="136"/>
      <c r="D10" s="137"/>
      <c r="E10" s="56">
        <v>0.02</v>
      </c>
      <c r="F10" s="3" t="s">
        <v>133</v>
      </c>
    </row>
    <row r="11" spans="2:17" thickBot="1" x14ac:dyDescent="0.4">
      <c r="B11" s="135" t="s">
        <v>82</v>
      </c>
      <c r="C11" s="136"/>
      <c r="D11" s="137"/>
      <c r="E11" s="56">
        <v>8.0000000000000002E-3</v>
      </c>
      <c r="F11" s="3" t="s">
        <v>134</v>
      </c>
    </row>
    <row r="12" spans="2:17" ht="14" customHeight="1" thickBot="1" x14ac:dyDescent="0.4">
      <c r="B12" s="6" t="s">
        <v>102</v>
      </c>
      <c r="C12" s="48"/>
      <c r="D12" s="48"/>
      <c r="E12" s="55">
        <v>2</v>
      </c>
      <c r="F12" s="3" t="s">
        <v>138</v>
      </c>
    </row>
    <row r="13" spans="2:17" ht="33.5" customHeight="1" thickBot="1" x14ac:dyDescent="0.4">
      <c r="J13" s="10" t="s">
        <v>99</v>
      </c>
      <c r="L13" s="9" t="s">
        <v>100</v>
      </c>
    </row>
    <row r="14" spans="2:17" ht="85" customHeight="1" thickBot="1" x14ac:dyDescent="0.4">
      <c r="C14" s="32" t="s">
        <v>87</v>
      </c>
      <c r="D14" s="32" t="s">
        <v>88</v>
      </c>
      <c r="E14" s="32" t="s">
        <v>98</v>
      </c>
      <c r="F14" s="32" t="s">
        <v>95</v>
      </c>
      <c r="G14" s="32" t="s">
        <v>89</v>
      </c>
      <c r="H14" s="32" t="s">
        <v>90</v>
      </c>
      <c r="I14" s="32" t="s">
        <v>91</v>
      </c>
      <c r="J14" s="32" t="s">
        <v>92</v>
      </c>
      <c r="K14" s="32" t="s">
        <v>93</v>
      </c>
      <c r="L14" s="32" t="s">
        <v>94</v>
      </c>
    </row>
    <row r="15" spans="2:17" ht="15" customHeight="1" x14ac:dyDescent="0.35">
      <c r="C15" s="33">
        <v>0</v>
      </c>
      <c r="D15" s="34"/>
      <c r="E15" s="34"/>
      <c r="F15" s="34"/>
      <c r="G15" s="34"/>
      <c r="H15" s="34"/>
      <c r="I15" s="73">
        <f>-Dimensionamento!G73</f>
        <v>-26413.91</v>
      </c>
      <c r="J15" s="73">
        <f>I15</f>
        <v>-26413.91</v>
      </c>
      <c r="K15" s="73">
        <f>I15</f>
        <v>-26413.91</v>
      </c>
      <c r="L15" s="73">
        <f>I15</f>
        <v>-26413.91</v>
      </c>
    </row>
    <row r="16" spans="2:17" ht="15" customHeight="1" x14ac:dyDescent="0.35">
      <c r="C16" s="35">
        <v>1</v>
      </c>
      <c r="D16" s="36">
        <f>Dimensionamento!E41*12</f>
        <v>8252.6400000000012</v>
      </c>
      <c r="E16" s="36">
        <f>P3+P4</f>
        <v>0.75829999999999997</v>
      </c>
      <c r="F16" s="36">
        <f>IF($E$12=1, $P$3,IF($E$12=2, $P$3+$P$4-$P$5*$P$6,$P$3+$P$4))</f>
        <v>0.58909099999999992</v>
      </c>
      <c r="G16" s="70">
        <f t="shared" ref="G16:G45" si="0">(E16*$E$5+(1-$E$5)*F16)*D16</f>
        <v>5280.4822387680006</v>
      </c>
      <c r="H16" s="70">
        <f t="shared" ref="H16:H45" si="1">IF(OR(C16=$E$7,C16=2*$E$7),G16*($E$8+$E$9),G16*$E$8)</f>
        <v>105.60964477536001</v>
      </c>
      <c r="I16" s="70">
        <f>G16-H16- IF(Dimensionamento!$E$7="A", Dimensionamento!$E$35*Dimensionamento!$E$18*12, 0)</f>
        <v>5174.8725939926408</v>
      </c>
      <c r="J16" s="70">
        <f>J15+I16</f>
        <v>-21239.037406007359</v>
      </c>
      <c r="K16" s="70">
        <f t="shared" ref="K16:K45" si="2">I16/(1+$E$6)^C16</f>
        <v>4704.4296309024003</v>
      </c>
      <c r="L16" s="70">
        <f>L15+K16</f>
        <v>-21709.4803690976</v>
      </c>
    </row>
    <row r="17" spans="3:12" ht="15" customHeight="1" x14ac:dyDescent="0.35">
      <c r="C17" s="37">
        <v>2</v>
      </c>
      <c r="D17" s="38">
        <f>Dimensionamento!$E$41*12*(1-$E$10)</f>
        <v>8087.5872000000008</v>
      </c>
      <c r="E17" s="38">
        <f t="shared" ref="E17:E45" si="3">E16*(1+$E$4)</f>
        <v>0.79621500000000001</v>
      </c>
      <c r="F17" s="38">
        <f t="shared" ref="F17:F45" si="4">F16*(1+$E$4)</f>
        <v>0.61854554999999989</v>
      </c>
      <c r="G17" s="71">
        <f t="shared" si="0"/>
        <v>5433.616223692271</v>
      </c>
      <c r="H17" s="71">
        <f t="shared" si="1"/>
        <v>108.67232447384542</v>
      </c>
      <c r="I17" s="71">
        <f>G17-H17- IF(Dimensionamento!$E$7="A", Dimensionamento!$E$35*Dimensionamento!$E$18*12, 0)</f>
        <v>5324.9438992184259</v>
      </c>
      <c r="J17" s="71">
        <f t="shared" ref="J17:J45" si="5">J16+I17</f>
        <v>-15914.093506788933</v>
      </c>
      <c r="K17" s="71">
        <f t="shared" si="2"/>
        <v>4400.7800819986987</v>
      </c>
      <c r="L17" s="71">
        <f t="shared" ref="L17:L45" si="6">L16+K17</f>
        <v>-17308.700287098902</v>
      </c>
    </row>
    <row r="18" spans="3:12" ht="15" customHeight="1" x14ac:dyDescent="0.35">
      <c r="C18" s="35">
        <v>3</v>
      </c>
      <c r="D18" s="36">
        <f>Dimensionamento!$E$41*12*(1-$E$10-(C18-2)*$E$11)</f>
        <v>8021.5660800000014</v>
      </c>
      <c r="E18" s="36">
        <f t="shared" si="3"/>
        <v>0.83602575000000001</v>
      </c>
      <c r="F18" s="36">
        <f t="shared" si="4"/>
        <v>0.64947282749999991</v>
      </c>
      <c r="G18" s="70">
        <f t="shared" si="0"/>
        <v>5658.7231815309515</v>
      </c>
      <c r="H18" s="70">
        <f t="shared" si="1"/>
        <v>113.17446363061903</v>
      </c>
      <c r="I18" s="70">
        <f>G18-H18- IF(Dimensionamento!$E$7="A", Dimensionamento!$E$35*Dimensionamento!$E$18*12, 0)</f>
        <v>5545.5487179003321</v>
      </c>
      <c r="J18" s="70">
        <f t="shared" si="5"/>
        <v>-10368.544788888601</v>
      </c>
      <c r="K18" s="70">
        <f t="shared" si="2"/>
        <v>4166.4528308792869</v>
      </c>
      <c r="L18" s="70">
        <f t="shared" si="6"/>
        <v>-13142.247456219615</v>
      </c>
    </row>
    <row r="19" spans="3:12" ht="15" customHeight="1" x14ac:dyDescent="0.35">
      <c r="C19" s="37">
        <v>4</v>
      </c>
      <c r="D19" s="38">
        <f>Dimensionamento!$E$41*12*(1-$E$10-(C19-2)*$E$11)</f>
        <v>7955.5449600000011</v>
      </c>
      <c r="E19" s="38">
        <f t="shared" si="3"/>
        <v>0.87782703750000002</v>
      </c>
      <c r="F19" s="38">
        <f t="shared" si="4"/>
        <v>0.68194646887499988</v>
      </c>
      <c r="G19" s="71">
        <f t="shared" si="0"/>
        <v>5892.7567945942683</v>
      </c>
      <c r="H19" s="71">
        <f t="shared" si="1"/>
        <v>117.85513589188537</v>
      </c>
      <c r="I19" s="71">
        <f>G19-H19- IF(Dimensionamento!$E$7="A", Dimensionamento!$E$35*Dimensionamento!$E$18*12, 0)</f>
        <v>5774.9016587023825</v>
      </c>
      <c r="J19" s="71">
        <f t="shared" si="5"/>
        <v>-4593.6431301862185</v>
      </c>
      <c r="K19" s="71">
        <f t="shared" si="2"/>
        <v>3944.3355363037913</v>
      </c>
      <c r="L19" s="71">
        <f t="shared" si="6"/>
        <v>-9197.9119199158231</v>
      </c>
    </row>
    <row r="20" spans="3:12" ht="15" customHeight="1" x14ac:dyDescent="0.35">
      <c r="C20" s="35">
        <v>5</v>
      </c>
      <c r="D20" s="36">
        <f>Dimensionamento!$E$41*12*(1-$E$10-(C20-2)*$E$11)</f>
        <v>7889.5238400000007</v>
      </c>
      <c r="E20" s="36">
        <f t="shared" si="3"/>
        <v>0.92171838937500006</v>
      </c>
      <c r="F20" s="36">
        <f t="shared" si="4"/>
        <v>0.71604379231874993</v>
      </c>
      <c r="G20" s="70">
        <f t="shared" si="0"/>
        <v>6136.0469610100899</v>
      </c>
      <c r="H20" s="70">
        <f t="shared" si="1"/>
        <v>122.7209392202018</v>
      </c>
      <c r="I20" s="70">
        <f>G20-H20- IF(Dimensionamento!$E$7="A", Dimensionamento!$E$35*Dimensionamento!$E$18*12, 0)</f>
        <v>6013.3260217898878</v>
      </c>
      <c r="J20" s="70">
        <f t="shared" si="5"/>
        <v>1419.6828916036693</v>
      </c>
      <c r="K20" s="70">
        <f t="shared" si="2"/>
        <v>3733.8023494358222</v>
      </c>
      <c r="L20" s="70">
        <f t="shared" si="6"/>
        <v>-5464.1095704800009</v>
      </c>
    </row>
    <row r="21" spans="3:12" ht="15" customHeight="1" x14ac:dyDescent="0.35">
      <c r="C21" s="37">
        <v>6</v>
      </c>
      <c r="D21" s="38">
        <f>Dimensionamento!$E$41*12*(1-$E$10-(C21-2)*$E$11)</f>
        <v>7823.5027200000004</v>
      </c>
      <c r="E21" s="38">
        <f t="shared" si="3"/>
        <v>0.96780430884375013</v>
      </c>
      <c r="F21" s="38">
        <f t="shared" si="4"/>
        <v>0.75184598193468744</v>
      </c>
      <c r="G21" s="71">
        <f t="shared" si="0"/>
        <v>6388.9342520810087</v>
      </c>
      <c r="H21" s="71">
        <f t="shared" si="1"/>
        <v>127.77868504162018</v>
      </c>
      <c r="I21" s="71">
        <f>G21-H21- IF(Dimensionamento!$E$7="A", Dimensionamento!$E$35*Dimensionamento!$E$18*12, 0)</f>
        <v>6261.1555670393882</v>
      </c>
      <c r="J21" s="71">
        <f t="shared" si="5"/>
        <v>7680.8384586430575</v>
      </c>
      <c r="K21" s="71">
        <f t="shared" si="2"/>
        <v>3534.2590896048091</v>
      </c>
      <c r="L21" s="71">
        <f t="shared" si="6"/>
        <v>-1929.8504808751918</v>
      </c>
    </row>
    <row r="22" spans="3:12" ht="15" customHeight="1" x14ac:dyDescent="0.35">
      <c r="C22" s="35">
        <v>7</v>
      </c>
      <c r="D22" s="36">
        <f>Dimensionamento!$E$41*12*(1-$E$10-(C22-2)*$E$11)</f>
        <v>7757.481600000001</v>
      </c>
      <c r="E22" s="36">
        <f t="shared" si="3"/>
        <v>1.0161945242859376</v>
      </c>
      <c r="F22" s="36">
        <f t="shared" si="4"/>
        <v>0.78943828103142188</v>
      </c>
      <c r="G22" s="70">
        <f t="shared" si="0"/>
        <v>6651.7701548564937</v>
      </c>
      <c r="H22" s="70">
        <f t="shared" si="1"/>
        <v>133.03540309712989</v>
      </c>
      <c r="I22" s="70">
        <f>G22-H22- IF(Dimensionamento!$E$7="A", Dimensionamento!$E$35*Dimensionamento!$E$18*12, 0)</f>
        <v>6518.7347517593635</v>
      </c>
      <c r="J22" s="70">
        <f t="shared" si="5"/>
        <v>14199.573210402421</v>
      </c>
      <c r="K22" s="70">
        <f t="shared" si="2"/>
        <v>3345.1416584579461</v>
      </c>
      <c r="L22" s="70">
        <f t="shared" si="6"/>
        <v>1415.2911775827542</v>
      </c>
    </row>
    <row r="23" spans="3:12" ht="15" customHeight="1" x14ac:dyDescent="0.35">
      <c r="C23" s="37">
        <v>8</v>
      </c>
      <c r="D23" s="38">
        <f>Dimensionamento!$E$41*12*(1-$E$10-(C23-2)*$E$11)</f>
        <v>7691.4604800000006</v>
      </c>
      <c r="E23" s="38">
        <f t="shared" si="3"/>
        <v>1.0670042505002346</v>
      </c>
      <c r="F23" s="38">
        <f t="shared" si="4"/>
        <v>0.82891019508299302</v>
      </c>
      <c r="G23" s="71">
        <f t="shared" si="0"/>
        <v>6924.9173122793245</v>
      </c>
      <c r="H23" s="71">
        <f t="shared" si="1"/>
        <v>138.4983462455865</v>
      </c>
      <c r="I23" s="71">
        <f>G23-H23- IF(Dimensionamento!$E$7="A", Dimensionamento!$E$35*Dimensionamento!$E$18*12, 0)</f>
        <v>6786.4189660337379</v>
      </c>
      <c r="J23" s="71">
        <f t="shared" si="5"/>
        <v>20985.992176436157</v>
      </c>
      <c r="K23" s="71">
        <f t="shared" si="2"/>
        <v>3165.9145328500454</v>
      </c>
      <c r="L23" s="71">
        <f t="shared" si="6"/>
        <v>4581.2057104327996</v>
      </c>
    </row>
    <row r="24" spans="3:12" ht="15" customHeight="1" x14ac:dyDescent="0.35">
      <c r="C24" s="35">
        <v>9</v>
      </c>
      <c r="D24" s="36">
        <f>Dimensionamento!$E$41*12*(1-$E$10-(C24-2)*$E$11)</f>
        <v>7625.4393600000003</v>
      </c>
      <c r="E24" s="36">
        <f t="shared" si="3"/>
        <v>1.1203544630252464</v>
      </c>
      <c r="F24" s="36">
        <f t="shared" si="4"/>
        <v>0.87035570483714275</v>
      </c>
      <c r="G24" s="70">
        <f t="shared" si="0"/>
        <v>7208.749760057297</v>
      </c>
      <c r="H24" s="70">
        <f t="shared" si="1"/>
        <v>144.17499520114595</v>
      </c>
      <c r="I24" s="70">
        <f>G24-H24- IF(Dimensionamento!$E$7="A", Dimensionamento!$E$35*Dimensionamento!$E$18*12, 0)</f>
        <v>7064.574764856151</v>
      </c>
      <c r="J24" s="70">
        <f t="shared" si="5"/>
        <v>28050.566941292309</v>
      </c>
      <c r="K24" s="70">
        <f t="shared" si="2"/>
        <v>2996.0693325898496</v>
      </c>
      <c r="L24" s="70">
        <f t="shared" si="6"/>
        <v>7577.2750430226497</v>
      </c>
    </row>
    <row r="25" spans="3:12" ht="15" customHeight="1" x14ac:dyDescent="0.35">
      <c r="C25" s="37">
        <v>10</v>
      </c>
      <c r="D25" s="38">
        <f>Dimensionamento!$E$41*12*(1-$E$10-(C25-2)*$E$11)</f>
        <v>7559.4182400000009</v>
      </c>
      <c r="E25" s="38">
        <f t="shared" si="3"/>
        <v>1.1763721861765088</v>
      </c>
      <c r="F25" s="38">
        <f t="shared" si="4"/>
        <v>0.91387349007899987</v>
      </c>
      <c r="G25" s="71">
        <f t="shared" si="0"/>
        <v>7503.6531593323689</v>
      </c>
      <c r="H25" s="71">
        <f t="shared" si="1"/>
        <v>150.07306318664737</v>
      </c>
      <c r="I25" s="71">
        <f>G25-H25- IF(Dimensionamento!$E$7="A", Dimensionamento!$E$35*Dimensionamento!$E$18*12, 0)</f>
        <v>7353.5800961457217</v>
      </c>
      <c r="J25" s="71">
        <f t="shared" si="5"/>
        <v>35404.14703743803</v>
      </c>
      <c r="K25" s="71">
        <f t="shared" si="2"/>
        <v>2835.1234593515519</v>
      </c>
      <c r="L25" s="71">
        <f t="shared" si="6"/>
        <v>10412.398502374203</v>
      </c>
    </row>
    <row r="26" spans="3:12" ht="15" customHeight="1" x14ac:dyDescent="0.35">
      <c r="C26" s="35">
        <v>11</v>
      </c>
      <c r="D26" s="36">
        <f>Dimensionamento!$E$41*12*(1-$E$10-(C26-2)*$E$11)</f>
        <v>7493.3971200000005</v>
      </c>
      <c r="E26" s="36">
        <f t="shared" si="3"/>
        <v>1.2351907954853343</v>
      </c>
      <c r="F26" s="36">
        <f t="shared" si="4"/>
        <v>0.95956716458294988</v>
      </c>
      <c r="G26" s="70">
        <f t="shared" si="0"/>
        <v>7810.025024134804</v>
      </c>
      <c r="H26" s="70">
        <f t="shared" si="1"/>
        <v>156.20050048269607</v>
      </c>
      <c r="I26" s="70">
        <f>G26-H26- IF(Dimensionamento!$E$7="A", Dimensionamento!$E$35*Dimensionamento!$E$18*12, 0)</f>
        <v>7653.8245236521079</v>
      </c>
      <c r="J26" s="70">
        <f t="shared" si="5"/>
        <v>43057.97156109014</v>
      </c>
      <c r="K26" s="70">
        <f t="shared" si="2"/>
        <v>2682.6188032411364</v>
      </c>
      <c r="L26" s="70">
        <f t="shared" si="6"/>
        <v>13095.01730561534</v>
      </c>
    </row>
    <row r="27" spans="3:12" ht="15" customHeight="1" x14ac:dyDescent="0.35">
      <c r="C27" s="37">
        <v>12</v>
      </c>
      <c r="D27" s="38">
        <f>Dimensionamento!$E$41*12*(1-$E$10-(C27-2)*$E$11)</f>
        <v>7427.3760000000011</v>
      </c>
      <c r="E27" s="38">
        <f t="shared" si="3"/>
        <v>1.296950335259601</v>
      </c>
      <c r="F27" s="38">
        <f t="shared" si="4"/>
        <v>1.0075455228120975</v>
      </c>
      <c r="G27" s="71">
        <f t="shared" si="0"/>
        <v>8128.2749425191523</v>
      </c>
      <c r="H27" s="71">
        <f t="shared" si="1"/>
        <v>162.56549885038305</v>
      </c>
      <c r="I27" s="71">
        <f>G27-H27- IF(Dimensionamento!$E$7="A", Dimensionamento!$E$35*Dimensionamento!$E$18*12, 0)</f>
        <v>7965.7094436687694</v>
      </c>
      <c r="J27" s="71">
        <f t="shared" si="5"/>
        <v>51023.68100475891</v>
      </c>
      <c r="K27" s="71">
        <f t="shared" si="2"/>
        <v>2538.1205136792892</v>
      </c>
      <c r="L27" s="71">
        <f t="shared" si="6"/>
        <v>15633.137819294629</v>
      </c>
    </row>
    <row r="28" spans="3:12" ht="15" customHeight="1" x14ac:dyDescent="0.35">
      <c r="C28" s="35">
        <v>13</v>
      </c>
      <c r="D28" s="36">
        <f>Dimensionamento!$E$41*12*(1-$E$10-(C28-2)*$E$11)</f>
        <v>7361.3548800000008</v>
      </c>
      <c r="E28" s="36">
        <f t="shared" si="3"/>
        <v>1.3617978520225811</v>
      </c>
      <c r="F28" s="36">
        <f t="shared" si="4"/>
        <v>1.0579227989527025</v>
      </c>
      <c r="G28" s="70">
        <f t="shared" si="0"/>
        <v>8458.8247901815976</v>
      </c>
      <c r="H28" s="70">
        <f t="shared" si="1"/>
        <v>169.17649580363195</v>
      </c>
      <c r="I28" s="70">
        <f>G28-H28- IF(Dimensionamento!$E$7="A", Dimensionamento!$E$35*Dimensionamento!$E$18*12, 0)</f>
        <v>8289.6482943779665</v>
      </c>
      <c r="J28" s="70">
        <f t="shared" si="5"/>
        <v>59313.32929913688</v>
      </c>
      <c r="K28" s="70">
        <f t="shared" si="2"/>
        <v>2401.2158314262856</v>
      </c>
      <c r="L28" s="70">
        <f t="shared" si="6"/>
        <v>18034.353650720914</v>
      </c>
    </row>
    <row r="29" spans="3:12" ht="15" customHeight="1" x14ac:dyDescent="0.35">
      <c r="C29" s="37">
        <v>14</v>
      </c>
      <c r="D29" s="38">
        <f>Dimensionamento!$E$41*12*(1-$E$10-(C29-2)*$E$11)</f>
        <v>7295.3337600000013</v>
      </c>
      <c r="E29" s="38">
        <f t="shared" si="3"/>
        <v>1.4298877446237102</v>
      </c>
      <c r="F29" s="38">
        <f t="shared" si="4"/>
        <v>1.1108189389003376</v>
      </c>
      <c r="G29" s="71">
        <f t="shared" si="0"/>
        <v>8802.1089352539911</v>
      </c>
      <c r="H29" s="71">
        <f t="shared" si="1"/>
        <v>176.04217870507983</v>
      </c>
      <c r="I29" s="71">
        <f>G29-H29- IF(Dimensionamento!$E$7="A", Dimensionamento!$E$35*Dimensionamento!$E$18*12, 0)</f>
        <v>8626.0667565489111</v>
      </c>
      <c r="J29" s="71">
        <f t="shared" si="5"/>
        <v>67939.396055685793</v>
      </c>
      <c r="K29" s="71">
        <f t="shared" si="2"/>
        <v>2271.5129787300016</v>
      </c>
      <c r="L29" s="71">
        <f t="shared" si="6"/>
        <v>20305.866629450917</v>
      </c>
    </row>
    <row r="30" spans="3:12" ht="15" customHeight="1" x14ac:dyDescent="0.35">
      <c r="C30" s="35">
        <v>15</v>
      </c>
      <c r="D30" s="36">
        <f>Dimensionamento!$E$41*12*(1-$E$10-(C30-2)*$E$11)</f>
        <v>7229.312640000001</v>
      </c>
      <c r="E30" s="36">
        <f t="shared" si="3"/>
        <v>1.5013821318548957</v>
      </c>
      <c r="F30" s="36">
        <f t="shared" si="4"/>
        <v>1.1663598858453545</v>
      </c>
      <c r="G30" s="70">
        <f t="shared" si="0"/>
        <v>9158.5744328581695</v>
      </c>
      <c r="H30" s="70">
        <f t="shared" si="1"/>
        <v>6594.1735916578818</v>
      </c>
      <c r="I30" s="70">
        <f>G30-H30- IF(Dimensionamento!$E$7="A", Dimensionamento!$E$35*Dimensionamento!$E$18*12, 0)</f>
        <v>2564.4008412002877</v>
      </c>
      <c r="J30" s="70">
        <f t="shared" si="5"/>
        <v>70503.796896886081</v>
      </c>
      <c r="K30" s="70">
        <f t="shared" si="2"/>
        <v>613.8971727789434</v>
      </c>
      <c r="L30" s="70">
        <f t="shared" si="6"/>
        <v>20919.76380222986</v>
      </c>
    </row>
    <row r="31" spans="3:12" ht="15" customHeight="1" x14ac:dyDescent="0.35">
      <c r="C31" s="37">
        <v>16</v>
      </c>
      <c r="D31" s="38">
        <f>Dimensionamento!$E$41*12*(1-$E$10-(C31-2)*$E$11)</f>
        <v>7163.2915200000007</v>
      </c>
      <c r="E31" s="38">
        <f t="shared" si="3"/>
        <v>1.5764512384476406</v>
      </c>
      <c r="F31" s="38">
        <f t="shared" si="4"/>
        <v>1.2246778801376224</v>
      </c>
      <c r="G31" s="71">
        <f t="shared" si="0"/>
        <v>9528.6812078846306</v>
      </c>
      <c r="H31" s="71">
        <f t="shared" si="1"/>
        <v>190.57362415769262</v>
      </c>
      <c r="I31" s="71">
        <f>G31-H31- IF(Dimensionamento!$E$7="A", Dimensionamento!$E$35*Dimensionamento!$E$18*12, 0)</f>
        <v>9338.1075837269382</v>
      </c>
      <c r="J31" s="71">
        <f t="shared" si="5"/>
        <v>79841.904480613011</v>
      </c>
      <c r="K31" s="71">
        <f t="shared" si="2"/>
        <v>2032.2442833619257</v>
      </c>
      <c r="L31" s="71">
        <f t="shared" si="6"/>
        <v>22952.008085591784</v>
      </c>
    </row>
    <row r="32" spans="3:12" ht="15" customHeight="1" x14ac:dyDescent="0.35">
      <c r="C32" s="35">
        <v>17</v>
      </c>
      <c r="D32" s="36">
        <f>Dimensionamento!$E$41*12*(1-$E$10-(C32-2)*$E$11)</f>
        <v>7097.2704000000012</v>
      </c>
      <c r="E32" s="36">
        <f t="shared" si="3"/>
        <v>1.6552738003700227</v>
      </c>
      <c r="F32" s="36">
        <f t="shared" si="4"/>
        <v>1.2859117741445034</v>
      </c>
      <c r="G32" s="70">
        <f t="shared" si="0"/>
        <v>9912.9022243315903</v>
      </c>
      <c r="H32" s="70">
        <f t="shared" si="1"/>
        <v>198.2580444866318</v>
      </c>
      <c r="I32" s="70">
        <f>G32-H32- IF(Dimensionamento!$E$7="A", Dimensionamento!$E$35*Dimensionamento!$E$18*12, 0)</f>
        <v>9714.6441798449578</v>
      </c>
      <c r="J32" s="70">
        <f t="shared" si="5"/>
        <v>89556.548660457964</v>
      </c>
      <c r="K32" s="70">
        <f t="shared" si="2"/>
        <v>1921.9905612440496</v>
      </c>
      <c r="L32" s="70">
        <f t="shared" si="6"/>
        <v>24873.998646835833</v>
      </c>
    </row>
    <row r="33" spans="3:12" ht="15" customHeight="1" x14ac:dyDescent="0.35">
      <c r="C33" s="37">
        <v>18</v>
      </c>
      <c r="D33" s="38">
        <f>Dimensionamento!$E$41*12*(1-$E$10-(C33-2)*$E$11)</f>
        <v>7031.2492800000009</v>
      </c>
      <c r="E33" s="38">
        <f t="shared" si="3"/>
        <v>1.7380374903885238</v>
      </c>
      <c r="F33" s="38">
        <f t="shared" si="4"/>
        <v>1.3502073628517286</v>
      </c>
      <c r="G33" s="71">
        <f t="shared" si="0"/>
        <v>10311.723639403537</v>
      </c>
      <c r="H33" s="71">
        <f t="shared" si="1"/>
        <v>206.23447278807075</v>
      </c>
      <c r="I33" s="71">
        <f>G33-H33- IF(Dimensionamento!$E$7="A", Dimensionamento!$E$35*Dimensionamento!$E$18*12, 0)</f>
        <v>10105.489166615467</v>
      </c>
      <c r="J33" s="71">
        <f t="shared" si="5"/>
        <v>99662.037827073436</v>
      </c>
      <c r="K33" s="71">
        <f t="shared" si="2"/>
        <v>1817.561052948126</v>
      </c>
      <c r="L33" s="71">
        <f t="shared" si="6"/>
        <v>26691.55969978396</v>
      </c>
    </row>
    <row r="34" spans="3:12" ht="15" customHeight="1" x14ac:dyDescent="0.35">
      <c r="C34" s="35">
        <v>19</v>
      </c>
      <c r="D34" s="36">
        <f>Dimensionamento!$E$41*12*(1-$E$10-(C34-2)*$E$11)</f>
        <v>6965.2281600000006</v>
      </c>
      <c r="E34" s="36">
        <f t="shared" si="3"/>
        <v>1.8249393649079502</v>
      </c>
      <c r="F34" s="36">
        <f t="shared" si="4"/>
        <v>1.4177177309943152</v>
      </c>
      <c r="G34" s="70">
        <f t="shared" si="0"/>
        <v>10725.644940421847</v>
      </c>
      <c r="H34" s="70">
        <f t="shared" si="1"/>
        <v>214.51289880843694</v>
      </c>
      <c r="I34" s="70">
        <f>G34-H34- IF(Dimensionamento!$E$7="A", Dimensionamento!$E$35*Dimensionamento!$E$18*12, 0)</f>
        <v>10511.132041613411</v>
      </c>
      <c r="J34" s="70">
        <f t="shared" si="5"/>
        <v>110173.16986868685</v>
      </c>
      <c r="K34" s="70">
        <f t="shared" si="2"/>
        <v>1718.6540814368636</v>
      </c>
      <c r="L34" s="70">
        <f t="shared" si="6"/>
        <v>28410.213781220824</v>
      </c>
    </row>
    <row r="35" spans="3:12" ht="15" customHeight="1" x14ac:dyDescent="0.35">
      <c r="C35" s="37">
        <v>20</v>
      </c>
      <c r="D35" s="38">
        <f>Dimensionamento!$E$41*12*(1-$E$10-(C35-2)*$E$11)</f>
        <v>6899.2070400000011</v>
      </c>
      <c r="E35" s="38">
        <f t="shared" si="3"/>
        <v>1.9161863331533477</v>
      </c>
      <c r="F35" s="38">
        <f t="shared" si="4"/>
        <v>1.4886036175440309</v>
      </c>
      <c r="G35" s="71">
        <f t="shared" si="0"/>
        <v>11155.179062443482</v>
      </c>
      <c r="H35" s="71">
        <f t="shared" si="1"/>
        <v>223.10358124886963</v>
      </c>
      <c r="I35" s="71">
        <f>G35-H35- IF(Dimensionamento!$E$7="A", Dimensionamento!$E$35*Dimensionamento!$E$18*12, 0)</f>
        <v>10932.075481194612</v>
      </c>
      <c r="J35" s="71">
        <f t="shared" si="5"/>
        <v>121105.24534988146</v>
      </c>
      <c r="K35" s="71">
        <f t="shared" si="2"/>
        <v>1624.9833613585513</v>
      </c>
      <c r="L35" s="71">
        <f t="shared" si="6"/>
        <v>30035.197142579374</v>
      </c>
    </row>
    <row r="36" spans="3:12" ht="15" customHeight="1" x14ac:dyDescent="0.35">
      <c r="C36" s="35">
        <v>21</v>
      </c>
      <c r="D36" s="36">
        <f>Dimensionamento!$E$41*12*(1-$E$10-(C36-2)*$E$11)</f>
        <v>6833.1859200000008</v>
      </c>
      <c r="E36" s="36">
        <f t="shared" si="3"/>
        <v>2.0119956498110154</v>
      </c>
      <c r="F36" s="36">
        <f t="shared" si="4"/>
        <v>1.5630337984212326</v>
      </c>
      <c r="G36" s="70">
        <f t="shared" si="0"/>
        <v>11600.852484316225</v>
      </c>
      <c r="H36" s="70">
        <f t="shared" si="1"/>
        <v>232.0170496863245</v>
      </c>
      <c r="I36" s="70">
        <f>G36-H36- IF(Dimensionamento!$E$7="A", Dimensionamento!$E$35*Dimensionamento!$E$18*12, 0)</f>
        <v>11368.8354346299</v>
      </c>
      <c r="J36" s="70">
        <f t="shared" si="5"/>
        <v>132474.08078451134</v>
      </c>
      <c r="K36" s="70">
        <f t="shared" si="2"/>
        <v>1536.2772231025713</v>
      </c>
      <c r="L36" s="70">
        <f t="shared" si="6"/>
        <v>31571.474365681945</v>
      </c>
    </row>
    <row r="37" spans="3:12" ht="15" customHeight="1" x14ac:dyDescent="0.35">
      <c r="C37" s="37">
        <v>22</v>
      </c>
      <c r="D37" s="38">
        <f>Dimensionamento!$E$41*12*(1-$E$10-(C37-2)*$E$11)</f>
        <v>6767.1648000000005</v>
      </c>
      <c r="E37" s="38">
        <f t="shared" si="3"/>
        <v>2.1125954323015663</v>
      </c>
      <c r="F37" s="38">
        <f t="shared" si="4"/>
        <v>1.6411854883422943</v>
      </c>
      <c r="G37" s="71">
        <f t="shared" si="0"/>
        <v>12063.20530072013</v>
      </c>
      <c r="H37" s="71">
        <f t="shared" si="1"/>
        <v>241.26410601440261</v>
      </c>
      <c r="I37" s="71">
        <f>G37-H37- IF(Dimensionamento!$E$7="A", Dimensionamento!$E$35*Dimensionamento!$E$18*12, 0)</f>
        <v>11821.941194705727</v>
      </c>
      <c r="J37" s="71">
        <f t="shared" si="5"/>
        <v>144296.02197921707</v>
      </c>
      <c r="K37" s="71">
        <f t="shared" si="2"/>
        <v>1452.2778755943273</v>
      </c>
      <c r="L37" s="71">
        <f t="shared" si="6"/>
        <v>33023.75224127627</v>
      </c>
    </row>
    <row r="38" spans="3:12" ht="15" customHeight="1" x14ac:dyDescent="0.35">
      <c r="C38" s="35">
        <v>23</v>
      </c>
      <c r="D38" s="36">
        <f>Dimensionamento!$E$41*12*(1-$E$10-(C38-2)*$E$11)</f>
        <v>6701.1436800000001</v>
      </c>
      <c r="E38" s="36">
        <f t="shared" si="3"/>
        <v>2.2182252039166448</v>
      </c>
      <c r="F38" s="36">
        <f t="shared" si="4"/>
        <v>1.723244762759409</v>
      </c>
      <c r="G38" s="70">
        <f t="shared" si="0"/>
        <v>12542.791267553639</v>
      </c>
      <c r="H38" s="70">
        <f t="shared" si="1"/>
        <v>250.85582535107278</v>
      </c>
      <c r="I38" s="70">
        <f>G38-H38- IF(Dimensionamento!$E$7="A", Dimensionamento!$E$35*Dimensionamento!$E$18*12, 0)</f>
        <v>12291.935442202566</v>
      </c>
      <c r="J38" s="70">
        <f t="shared" si="5"/>
        <v>156587.95742141965</v>
      </c>
      <c r="K38" s="70">
        <f t="shared" si="2"/>
        <v>1372.7407059110017</v>
      </c>
      <c r="L38" s="70">
        <f t="shared" si="6"/>
        <v>34396.492947187275</v>
      </c>
    </row>
    <row r="39" spans="3:12" ht="15" customHeight="1" x14ac:dyDescent="0.35">
      <c r="C39" s="37">
        <v>24</v>
      </c>
      <c r="D39" s="38">
        <f>Dimensionamento!$E$41*12*(1-$E$10-(C39-2)*$E$11)</f>
        <v>6635.1225600000016</v>
      </c>
      <c r="E39" s="38">
        <f t="shared" si="3"/>
        <v>2.329136464112477</v>
      </c>
      <c r="F39" s="38">
        <f t="shared" si="4"/>
        <v>1.8094070008973795</v>
      </c>
      <c r="G39" s="71">
        <f t="shared" si="0"/>
        <v>13040.1778178187</v>
      </c>
      <c r="H39" s="71">
        <f t="shared" si="1"/>
        <v>260.80355635637397</v>
      </c>
      <c r="I39" s="71">
        <f>G39-H39- IF(Dimensionamento!$E$7="A", Dimensionamento!$E$35*Dimensionamento!$E$18*12, 0)</f>
        <v>12779.374261462326</v>
      </c>
      <c r="J39" s="71">
        <f t="shared" si="5"/>
        <v>169367.33168288198</v>
      </c>
      <c r="K39" s="71">
        <f t="shared" si="2"/>
        <v>1297.4336138939409</v>
      </c>
      <c r="L39" s="71">
        <f t="shared" si="6"/>
        <v>35693.926561081214</v>
      </c>
    </row>
    <row r="40" spans="3:12" ht="15" customHeight="1" x14ac:dyDescent="0.35">
      <c r="C40" s="35">
        <v>25</v>
      </c>
      <c r="D40" s="36">
        <f>Dimensionamento!$E$41*12*(1-$E$10-(C40-2)*$E$11)</f>
        <v>6569.1014400000013</v>
      </c>
      <c r="E40" s="36">
        <f t="shared" si="3"/>
        <v>2.445593287318101</v>
      </c>
      <c r="F40" s="36">
        <f t="shared" si="4"/>
        <v>1.8998773509422486</v>
      </c>
      <c r="G40" s="70">
        <f t="shared" si="0"/>
        <v>13555.94604494138</v>
      </c>
      <c r="H40" s="70">
        <f t="shared" si="1"/>
        <v>271.11892089882758</v>
      </c>
      <c r="I40" s="70">
        <f>G40-H40- IF(Dimensionamento!$E$7="A", Dimensionamento!$E$35*Dimensionamento!$E$18*12, 0)</f>
        <v>13284.827124042553</v>
      </c>
      <c r="J40" s="70">
        <f t="shared" si="5"/>
        <v>182652.15880692453</v>
      </c>
      <c r="K40" s="70">
        <f t="shared" si="2"/>
        <v>1226.1363800232425</v>
      </c>
      <c r="L40" s="70">
        <f t="shared" si="6"/>
        <v>36920.062941104457</v>
      </c>
    </row>
    <row r="41" spans="3:12" ht="15" customHeight="1" x14ac:dyDescent="0.35">
      <c r="C41" s="37">
        <v>26</v>
      </c>
      <c r="D41" s="38">
        <f>Dimensionamento!$E$41*12*(1-$E$10-(C41-2)*$E$11)</f>
        <v>6503.0803200000009</v>
      </c>
      <c r="E41" s="38">
        <f t="shared" si="3"/>
        <v>2.5678729516840062</v>
      </c>
      <c r="F41" s="38">
        <f t="shared" si="4"/>
        <v>1.9948712184893611</v>
      </c>
      <c r="G41" s="71">
        <f t="shared" si="0"/>
        <v>14090.69065023178</v>
      </c>
      <c r="H41" s="71">
        <f t="shared" si="1"/>
        <v>281.81381300463562</v>
      </c>
      <c r="I41" s="71">
        <f>G41-H41- IF(Dimensionamento!$E$7="A", Dimensionamento!$E$35*Dimensionamento!$E$18*12, 0)</f>
        <v>13808.876837227144</v>
      </c>
      <c r="J41" s="71">
        <f t="shared" si="5"/>
        <v>196461.03564415168</v>
      </c>
      <c r="K41" s="71">
        <f t="shared" si="2"/>
        <v>1158.6400649054713</v>
      </c>
      <c r="L41" s="71">
        <f t="shared" si="6"/>
        <v>38078.703006009928</v>
      </c>
    </row>
    <row r="42" spans="3:12" ht="15" customHeight="1" x14ac:dyDescent="0.35">
      <c r="C42" s="35">
        <v>27</v>
      </c>
      <c r="D42" s="36">
        <f>Dimensionamento!$E$41*12*(1-$E$10-(C42-2)*$E$11)</f>
        <v>6437.0592000000015</v>
      </c>
      <c r="E42" s="36">
        <f t="shared" si="3"/>
        <v>2.6962665992682067</v>
      </c>
      <c r="F42" s="36">
        <f t="shared" si="4"/>
        <v>2.0946147794138295</v>
      </c>
      <c r="G42" s="70">
        <f t="shared" si="0"/>
        <v>14645.019850938874</v>
      </c>
      <c r="H42" s="70">
        <f t="shared" si="1"/>
        <v>292.90039701877748</v>
      </c>
      <c r="I42" s="70">
        <f>G42-H42- IF(Dimensionamento!$E$7="A", Dimensionamento!$E$35*Dimensionamento!$E$18*12, 0)</f>
        <v>14352.119453920097</v>
      </c>
      <c r="J42" s="70">
        <f t="shared" si="5"/>
        <v>210813.15509807179</v>
      </c>
      <c r="K42" s="70">
        <f t="shared" si="2"/>
        <v>1094.7464388066235</v>
      </c>
      <c r="L42" s="70">
        <f t="shared" si="6"/>
        <v>39173.44944481655</v>
      </c>
    </row>
    <row r="43" spans="3:12" ht="15" customHeight="1" x14ac:dyDescent="0.35">
      <c r="C43" s="37">
        <v>28</v>
      </c>
      <c r="D43" s="38">
        <f>Dimensionamento!$E$41*12*(1-$E$10-(C43-2)*$E$11)</f>
        <v>6371.0380800000012</v>
      </c>
      <c r="E43" s="38">
        <f t="shared" si="3"/>
        <v>2.8310799292316173</v>
      </c>
      <c r="F43" s="38">
        <f t="shared" si="4"/>
        <v>2.1993455183845212</v>
      </c>
      <c r="G43" s="71">
        <f t="shared" si="0"/>
        <v>15219.555245091091</v>
      </c>
      <c r="H43" s="71">
        <f t="shared" si="1"/>
        <v>304.39110490182185</v>
      </c>
      <c r="I43" s="71">
        <f>G43-H43- IF(Dimensionamento!$E$7="A", Dimensionamento!$E$35*Dimensionamento!$E$18*12, 0)</f>
        <v>14915.164140189268</v>
      </c>
      <c r="J43" s="71">
        <f t="shared" si="5"/>
        <v>225728.31923826106</v>
      </c>
      <c r="K43" s="71">
        <f t="shared" si="2"/>
        <v>1034.2674397396841</v>
      </c>
      <c r="L43" s="71">
        <f t="shared" si="6"/>
        <v>40207.716884556234</v>
      </c>
    </row>
    <row r="44" spans="3:12" ht="15" customHeight="1" x14ac:dyDescent="0.35">
      <c r="C44" s="35">
        <v>29</v>
      </c>
      <c r="D44" s="36">
        <f>Dimensionamento!$E$41*12*(1-$E$10-(C44-2)*$E$11)</f>
        <v>6305.0169600000008</v>
      </c>
      <c r="E44" s="36">
        <f t="shared" si="3"/>
        <v>2.9726339256931982</v>
      </c>
      <c r="F44" s="36">
        <f t="shared" si="4"/>
        <v>2.3093127943037475</v>
      </c>
      <c r="G44" s="70">
        <f t="shared" si="0"/>
        <v>15814.931629031184</v>
      </c>
      <c r="H44" s="70">
        <f t="shared" si="1"/>
        <v>316.29863258062369</v>
      </c>
      <c r="I44" s="70">
        <f>G44-H44- IF(Dimensionamento!$E$7="A", Dimensionamento!$E$35*Dimensionamento!$E$18*12, 0)</f>
        <v>15498.63299645056</v>
      </c>
      <c r="J44" s="70">
        <f t="shared" si="5"/>
        <v>241226.95223471161</v>
      </c>
      <c r="K44" s="70">
        <f t="shared" si="2"/>
        <v>977.0246586895604</v>
      </c>
      <c r="L44" s="70">
        <f t="shared" si="6"/>
        <v>41184.741543245793</v>
      </c>
    </row>
    <row r="45" spans="3:12" ht="15" customHeight="1" thickBot="1" x14ac:dyDescent="0.4">
      <c r="C45" s="39">
        <v>30</v>
      </c>
      <c r="D45" s="40">
        <f>Dimensionamento!$E$41*12*(1-$E$10-(C45-2)*$E$11)</f>
        <v>6238.9958400000014</v>
      </c>
      <c r="E45" s="40">
        <f t="shared" si="3"/>
        <v>3.1212656219778583</v>
      </c>
      <c r="F45" s="40">
        <f t="shared" si="4"/>
        <v>2.4247784340189349</v>
      </c>
      <c r="G45" s="72">
        <f t="shared" si="0"/>
        <v>16431.796763252562</v>
      </c>
      <c r="H45" s="72">
        <f t="shared" si="1"/>
        <v>11830.893669541843</v>
      </c>
      <c r="I45" s="72">
        <f>G45-H45- IF(Dimensionamento!$E$7="A", Dimensionamento!$E$35*Dimensionamento!$E$18*12, 0)</f>
        <v>4600.9030937107182</v>
      </c>
      <c r="J45" s="72">
        <f t="shared" si="5"/>
        <v>245827.85532842233</v>
      </c>
      <c r="K45" s="72">
        <f t="shared" si="2"/>
        <v>263.67110017942929</v>
      </c>
      <c r="L45" s="72">
        <f t="shared" si="6"/>
        <v>41448.412643425225</v>
      </c>
    </row>
    <row r="47" spans="3:12" ht="15" customHeight="1" thickBot="1" x14ac:dyDescent="0.4"/>
    <row r="48" spans="3:12" ht="15" customHeight="1" thickBot="1" x14ac:dyDescent="0.4">
      <c r="C48" s="53" t="s">
        <v>143</v>
      </c>
      <c r="D48" s="58">
        <f>SUM(K15:K45)</f>
        <v>41448.412643425225</v>
      </c>
      <c r="E48" s="57"/>
    </row>
    <row r="49" spans="2:12" ht="15" customHeight="1" thickTop="1" thickBot="1" x14ac:dyDescent="0.4">
      <c r="C49" s="53" t="s">
        <v>142</v>
      </c>
      <c r="D49" s="59">
        <f>IRR(I15:I45)</f>
        <v>0.23161171294633731</v>
      </c>
    </row>
    <row r="51" spans="2:12" ht="15" customHeight="1" x14ac:dyDescent="0.35">
      <c r="B51" s="130" t="s">
        <v>144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</row>
    <row r="52" spans="2:12" ht="15" customHeight="1" x14ac:dyDescent="0.35"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</row>
    <row r="53" spans="2:12" ht="15" customHeight="1" x14ac:dyDescent="0.35"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5" spans="2:12" ht="15" customHeight="1" x14ac:dyDescent="0.35">
      <c r="B55" s="130" t="s">
        <v>145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 spans="2:12" ht="15" customHeight="1" x14ac:dyDescent="0.35"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 spans="2:12" ht="15" customHeight="1" x14ac:dyDescent="0.35"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</row>
  </sheetData>
  <mergeCells count="13">
    <mergeCell ref="B51:L53"/>
    <mergeCell ref="B55:L57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2026-05-30T13:39:10Z</dcterms:modified>
</cp:coreProperties>
</file>